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ED3BC77-CE07-47D7-BEBB-220A45300D02}" xr6:coauthVersionLast="36" xr6:coauthVersionMax="36" xr10:uidLastSave="{00000000-0000-0000-0000-000000000000}"/>
  <bookViews>
    <workbookView xWindow="0" yWindow="0" windowWidth="23040" windowHeight="9060" xr2:uid="{CBD216F9-3DFE-416A-8AE5-C74B89664E3E}"/>
  </bookViews>
  <sheets>
    <sheet name="Session_05" sheetId="1" r:id="rId1"/>
  </sheets>
  <definedNames>
    <definedName name="_xlnm._FilterDatabase" localSheetId="0" hidden="1">Session_05!$C$12:$J$12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5" i="1" l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64" i="1"/>
  <c r="H40" i="1" l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39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K14" i="1"/>
  <c r="J14" i="1"/>
  <c r="I33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14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B15" i="1" l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</calcChain>
</file>

<file path=xl/sharedStrings.xml><?xml version="1.0" encoding="utf-8"?>
<sst xmlns="http://schemas.openxmlformats.org/spreadsheetml/2006/main" count="314" uniqueCount="196">
  <si>
    <t>Session 05</t>
  </si>
  <si>
    <t>Formulas and Functions (4) - Conditionals</t>
  </si>
  <si>
    <t>Class activity - 1</t>
  </si>
  <si>
    <t>S/N</t>
  </si>
  <si>
    <t>School ID</t>
  </si>
  <si>
    <t>School Name</t>
  </si>
  <si>
    <t>Location</t>
  </si>
  <si>
    <t>Type</t>
  </si>
  <si>
    <t>Performance Rating</t>
  </si>
  <si>
    <t>Performance Category 1</t>
  </si>
  <si>
    <t>Performance Category 2</t>
  </si>
  <si>
    <t>Funding Eligibility</t>
  </si>
  <si>
    <t>SCH001</t>
  </si>
  <si>
    <t>School 1</t>
  </si>
  <si>
    <t>Suburban</t>
  </si>
  <si>
    <t>Public</t>
  </si>
  <si>
    <t>Poor</t>
  </si>
  <si>
    <t>SCH002</t>
  </si>
  <si>
    <t>School 2</t>
  </si>
  <si>
    <t>Urban</t>
  </si>
  <si>
    <t>Private</t>
  </si>
  <si>
    <t>SCH003</t>
  </si>
  <si>
    <t>School 3</t>
  </si>
  <si>
    <t>Good</t>
  </si>
  <si>
    <t>Top Tier</t>
  </si>
  <si>
    <t>SCH004</t>
  </si>
  <si>
    <t>School 4</t>
  </si>
  <si>
    <t>Excellent</t>
  </si>
  <si>
    <t>Needs Improvement</t>
  </si>
  <si>
    <t>SCH005</t>
  </si>
  <si>
    <t>School 5</t>
  </si>
  <si>
    <t>Rural</t>
  </si>
  <si>
    <t>SCH006</t>
  </si>
  <si>
    <t>School 6</t>
  </si>
  <si>
    <t>SCH007</t>
  </si>
  <si>
    <t>School 7</t>
  </si>
  <si>
    <t xml:space="preserve">Excellent </t>
  </si>
  <si>
    <t>SCH008</t>
  </si>
  <si>
    <t>School 8</t>
  </si>
  <si>
    <t>Middle Tier</t>
  </si>
  <si>
    <t>SCH009</t>
  </si>
  <si>
    <t>School 9</t>
  </si>
  <si>
    <t>SCH010</t>
  </si>
  <si>
    <t>School 10</t>
  </si>
  <si>
    <t>SCH011</t>
  </si>
  <si>
    <t>School 11</t>
  </si>
  <si>
    <t>Funding Priorities</t>
  </si>
  <si>
    <t>SCH012</t>
  </si>
  <si>
    <t>School 12</t>
  </si>
  <si>
    <t>Eligibility</t>
  </si>
  <si>
    <t>SCH013</t>
  </si>
  <si>
    <t>School 13</t>
  </si>
  <si>
    <t>Yes</t>
  </si>
  <si>
    <t>SCH014</t>
  </si>
  <si>
    <t>School 14</t>
  </si>
  <si>
    <t>SCH015</t>
  </si>
  <si>
    <t>School 15</t>
  </si>
  <si>
    <t>No</t>
  </si>
  <si>
    <t>SCH016</t>
  </si>
  <si>
    <t>School 16</t>
  </si>
  <si>
    <t>SCH017</t>
  </si>
  <si>
    <t>School 17</t>
  </si>
  <si>
    <t>SCH018</t>
  </si>
  <si>
    <t>School 18</t>
  </si>
  <si>
    <t>SCH019</t>
  </si>
  <si>
    <t>School 19</t>
  </si>
  <si>
    <t>SCH020</t>
  </si>
  <si>
    <t>School 20</t>
  </si>
  <si>
    <t>Class activity - 2</t>
  </si>
  <si>
    <t>Student ID</t>
  </si>
  <si>
    <t>Student Name</t>
  </si>
  <si>
    <t>Age</t>
  </si>
  <si>
    <t>Grade Level</t>
  </si>
  <si>
    <t>Average Score</t>
  </si>
  <si>
    <t>Grades</t>
  </si>
  <si>
    <t>STD001</t>
  </si>
  <si>
    <t>Student 1</t>
  </si>
  <si>
    <t>12</t>
  </si>
  <si>
    <t>STD002</t>
  </si>
  <si>
    <t>Student 2</t>
  </si>
  <si>
    <t>11</t>
  </si>
  <si>
    <t>Average Scores</t>
  </si>
  <si>
    <t>STD003</t>
  </si>
  <si>
    <t>Student 3</t>
  </si>
  <si>
    <t>0-59</t>
  </si>
  <si>
    <t>F</t>
  </si>
  <si>
    <t>STD004</t>
  </si>
  <si>
    <t>Student 4</t>
  </si>
  <si>
    <t>60-69</t>
  </si>
  <si>
    <t>E</t>
  </si>
  <si>
    <t>STD005</t>
  </si>
  <si>
    <t>Student 5</t>
  </si>
  <si>
    <t>10</t>
  </si>
  <si>
    <t>70-79</t>
  </si>
  <si>
    <t>D</t>
  </si>
  <si>
    <t>STD006</t>
  </si>
  <si>
    <t>Student 6</t>
  </si>
  <si>
    <t>80-89</t>
  </si>
  <si>
    <t>C</t>
  </si>
  <si>
    <t>STD007</t>
  </si>
  <si>
    <t>Student 7</t>
  </si>
  <si>
    <t>90-99</t>
  </si>
  <si>
    <t>B</t>
  </si>
  <si>
    <t>STD008</t>
  </si>
  <si>
    <t>Student 8</t>
  </si>
  <si>
    <t>A</t>
  </si>
  <si>
    <t>STD009</t>
  </si>
  <si>
    <t>Student 9</t>
  </si>
  <si>
    <t>STD010</t>
  </si>
  <si>
    <t>Student 10</t>
  </si>
  <si>
    <t>STD011</t>
  </si>
  <si>
    <t>Student 11</t>
  </si>
  <si>
    <t>STD012</t>
  </si>
  <si>
    <t>Student 12</t>
  </si>
  <si>
    <t>STD013</t>
  </si>
  <si>
    <t>Student 13</t>
  </si>
  <si>
    <t>STD014</t>
  </si>
  <si>
    <t>Student 14</t>
  </si>
  <si>
    <t>STD015</t>
  </si>
  <si>
    <t>Student 15</t>
  </si>
  <si>
    <t>STD016</t>
  </si>
  <si>
    <t>Student 16</t>
  </si>
  <si>
    <t>STD017</t>
  </si>
  <si>
    <t>Student 17</t>
  </si>
  <si>
    <t>STD018</t>
  </si>
  <si>
    <t>Student 18</t>
  </si>
  <si>
    <t>STD019</t>
  </si>
  <si>
    <t>Student 19</t>
  </si>
  <si>
    <t>STD020</t>
  </si>
  <si>
    <t>Student 20</t>
  </si>
  <si>
    <t>Class activity - 3</t>
  </si>
  <si>
    <t>Business ID</t>
  </si>
  <si>
    <t>Business Name</t>
  </si>
  <si>
    <t>Industry</t>
  </si>
  <si>
    <t>Annual Revenue ($)</t>
  </si>
  <si>
    <t>Employee Count</t>
  </si>
  <si>
    <t>Business Classificatiuon</t>
  </si>
  <si>
    <t>BUS001</t>
  </si>
  <si>
    <t>Business 1</t>
  </si>
  <si>
    <t>Technology</t>
  </si>
  <si>
    <t>Business Classification</t>
  </si>
  <si>
    <t>BUS002</t>
  </si>
  <si>
    <t>Business 2</t>
  </si>
  <si>
    <t>Retail</t>
  </si>
  <si>
    <t>Employee count</t>
  </si>
  <si>
    <t>Business classification</t>
  </si>
  <si>
    <t>BUS003</t>
  </si>
  <si>
    <t>Business 3</t>
  </si>
  <si>
    <t>&lt;=100</t>
  </si>
  <si>
    <t>Small</t>
  </si>
  <si>
    <t>BUS004</t>
  </si>
  <si>
    <t>Business 4</t>
  </si>
  <si>
    <t>Education</t>
  </si>
  <si>
    <t>&gt;100 and &lt;200</t>
  </si>
  <si>
    <t>Medium</t>
  </si>
  <si>
    <t>BUS005</t>
  </si>
  <si>
    <t>Business 5</t>
  </si>
  <si>
    <t>&gt;200</t>
  </si>
  <si>
    <t>Large</t>
  </si>
  <si>
    <t>BUS006</t>
  </si>
  <si>
    <t>Business 6</t>
  </si>
  <si>
    <t>&lt;=200</t>
  </si>
  <si>
    <t>BUS007</t>
  </si>
  <si>
    <t>Business 7</t>
  </si>
  <si>
    <t>&gt;200 and &lt;400</t>
  </si>
  <si>
    <t>BUS008</t>
  </si>
  <si>
    <t>Business 8</t>
  </si>
  <si>
    <t>Healthcare</t>
  </si>
  <si>
    <t>&gt;400</t>
  </si>
  <si>
    <t>BUS009</t>
  </si>
  <si>
    <t>Business 9</t>
  </si>
  <si>
    <t>&lt;=150</t>
  </si>
  <si>
    <t>BUS010</t>
  </si>
  <si>
    <t>Business 10</t>
  </si>
  <si>
    <t>&gt;150 and &lt;300</t>
  </si>
  <si>
    <t>BUS011</t>
  </si>
  <si>
    <t>Business 11</t>
  </si>
  <si>
    <t>&gt;300</t>
  </si>
  <si>
    <t>BUS012</t>
  </si>
  <si>
    <t>Business 12</t>
  </si>
  <si>
    <t>BUS013</t>
  </si>
  <si>
    <t>Business 13</t>
  </si>
  <si>
    <t>BUS014</t>
  </si>
  <si>
    <t>Business 14</t>
  </si>
  <si>
    <t>BUS015</t>
  </si>
  <si>
    <t>Business 15</t>
  </si>
  <si>
    <t>BUS016</t>
  </si>
  <si>
    <t>Business 16</t>
  </si>
  <si>
    <t>BUS017</t>
  </si>
  <si>
    <t>Business 17</t>
  </si>
  <si>
    <t>BUS018</t>
  </si>
  <si>
    <t>Business 18</t>
  </si>
  <si>
    <t>BUS019</t>
  </si>
  <si>
    <t>Business 19</t>
  </si>
  <si>
    <t>End of sheet &gt;&gt;&gt;&gt;&gt;&gt;</t>
  </si>
  <si>
    <t>Funding Eligibility-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</si>
</sst>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2060"/>
      <name val="Wingdings"/>
      <charset val="2"/>
    </font>
    <font>
      <u/>
      <sz val="11"/>
      <color theme="1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/>
    <xf numFmtId="0" fontId="4" fillId="2" borderId="0" xfId="0" applyFont="1" applyFill="1"/>
    <xf numFmtId="0" fontId="3" fillId="0" borderId="1" xfId="0" applyFont="1" applyBorder="1"/>
    <xf numFmtId="0" fontId="0" fillId="0" borderId="1" xfId="0" applyBorder="1"/>
    <xf numFmtId="0" fontId="6" fillId="0" borderId="0" xfId="0" applyFont="1" applyAlignment="1">
      <alignment horizontal="center"/>
    </xf>
    <xf numFmtId="0" fontId="7" fillId="0" borderId="0" xfId="2"/>
    <xf numFmtId="0" fontId="8" fillId="0" borderId="0" xfId="0" applyFont="1"/>
    <xf numFmtId="0" fontId="3" fillId="3" borderId="1" xfId="0" applyFont="1" applyFill="1" applyBorder="1"/>
    <xf numFmtId="0" fontId="0" fillId="3" borderId="1" xfId="0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0" borderId="4" xfId="0" applyBorder="1"/>
    <xf numFmtId="0" fontId="4" fillId="2" borderId="4" xfId="0" applyFont="1" applyFill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 applyAlignment="1">
      <alignment horizontal="left"/>
    </xf>
    <xf numFmtId="164" fontId="0" fillId="0" borderId="2" xfId="1" applyNumberFormat="1" applyFont="1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6" xfId="0" applyBorder="1"/>
    <xf numFmtId="164" fontId="0" fillId="0" borderId="5" xfId="1" applyNumberFormat="1" applyFont="1" applyBorder="1" applyAlignment="1">
      <alignment horizontal="left"/>
    </xf>
    <xf numFmtId="0" fontId="0" fillId="0" borderId="5" xfId="0" applyBorder="1" applyAlignment="1">
      <alignment horizontal="right"/>
    </xf>
    <xf numFmtId="0" fontId="9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4">
    <dxf>
      <fill>
        <patternFill>
          <bgColor theme="3" tint="0.89996032593768116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ill>
        <patternFill>
          <bgColor theme="3" tint="0.89996032593768116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ill>
        <patternFill>
          <bgColor theme="3" tint="0.89996032593768116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ill>
        <patternFill>
          <bgColor theme="3" tint="0.89996032593768116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9CF7-5E52-499B-8FCF-E279463082C8}">
  <dimension ref="A1:O112"/>
  <sheetViews>
    <sheetView showGridLines="0" tabSelected="1" zoomScale="85" workbookViewId="0">
      <pane ySplit="3" topLeftCell="A55" activePane="bottomLeft" state="frozen"/>
      <selection pane="bottomLeft" activeCell="I76" sqref="I76"/>
    </sheetView>
  </sheetViews>
  <sheetFormatPr defaultColWidth="0" defaultRowHeight="0" customHeight="1" zeroHeight="1"/>
  <cols>
    <col min="1" max="1" width="4" customWidth="1"/>
    <col min="2" max="2" width="6.09765625" customWidth="1"/>
    <col min="3" max="3" width="27.19921875" customWidth="1"/>
    <col min="4" max="4" width="17.09765625" customWidth="1"/>
    <col min="5" max="5" width="18.5" customWidth="1"/>
    <col min="6" max="6" width="20.09765625" customWidth="1"/>
    <col min="7" max="7" width="22.5" customWidth="1"/>
    <col min="8" max="8" width="28.296875" customWidth="1"/>
    <col min="9" max="9" width="27.796875" customWidth="1"/>
    <col min="10" max="10" width="24.69921875" bestFit="1" customWidth="1"/>
    <col min="11" max="12" width="18.8984375" customWidth="1"/>
    <col min="13" max="13" width="19.796875" customWidth="1"/>
    <col min="14" max="14" width="19.69921875" customWidth="1"/>
    <col min="15" max="15" width="8.69921875" customWidth="1"/>
  </cols>
  <sheetData>
    <row r="1" spans="1:15" ht="13.8"/>
    <row r="2" spans="1:15" s="2" customFormat="1" ht="15.6">
      <c r="A2" s="1" t="s">
        <v>0</v>
      </c>
    </row>
    <row r="3" spans="1:15" s="4" customFormat="1" ht="14.4" thickBot="1">
      <c r="A3"/>
      <c r="B3" s="3" t="s">
        <v>1</v>
      </c>
    </row>
    <row r="4" spans="1:15" ht="13.8"/>
    <row r="5" spans="1:15" ht="13.8" hidden="1">
      <c r="B5" s="5"/>
      <c r="D5" s="6"/>
    </row>
    <row r="6" spans="1:15" ht="13.8" hidden="1">
      <c r="B6" s="5"/>
      <c r="D6" s="6"/>
    </row>
    <row r="7" spans="1:15" ht="13.8" hidden="1">
      <c r="B7" s="5"/>
      <c r="D7" s="6"/>
    </row>
    <row r="8" spans="1:15" ht="13.8" hidden="1">
      <c r="B8" s="5"/>
      <c r="D8" s="6"/>
      <c r="G8" s="7"/>
    </row>
    <row r="9" spans="1:15" ht="13.8" hidden="1">
      <c r="B9" s="5"/>
      <c r="D9" s="6"/>
      <c r="G9" s="7"/>
    </row>
    <row r="10" spans="1:15" ht="13.8" hidden="1"/>
    <row r="11" spans="1:15" s="4" customFormat="1" ht="14.4" thickBot="1">
      <c r="A11"/>
      <c r="B11" s="8" t="s">
        <v>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13.8"/>
    <row r="13" spans="1:15" ht="14.55" customHeight="1">
      <c r="B13" s="10" t="s">
        <v>3</v>
      </c>
      <c r="C13" s="10" t="s">
        <v>4</v>
      </c>
      <c r="D13" s="10" t="s">
        <v>5</v>
      </c>
      <c r="E13" s="10" t="s">
        <v>6</v>
      </c>
      <c r="F13" s="10" t="s">
        <v>7</v>
      </c>
      <c r="G13" s="10" t="s">
        <v>8</v>
      </c>
      <c r="H13" s="10" t="s">
        <v>9</v>
      </c>
      <c r="I13" s="10" t="s">
        <v>10</v>
      </c>
      <c r="J13" s="11" t="s">
        <v>195</v>
      </c>
      <c r="K13" s="11" t="s">
        <v>11</v>
      </c>
    </row>
    <row r="14" spans="1:15" ht="14.55" customHeight="1">
      <c r="B14" s="12">
        <v>1</v>
      </c>
      <c r="C14" s="13" t="s">
        <v>12</v>
      </c>
      <c r="D14" s="13" t="s">
        <v>13</v>
      </c>
      <c r="E14" s="13" t="s">
        <v>14</v>
      </c>
      <c r="F14" s="13" t="s">
        <v>15</v>
      </c>
      <c r="G14" s="13" t="s">
        <v>16</v>
      </c>
      <c r="H14" s="13" t="str">
        <f>IF(G14="Good","Top Tier",IF(G14="Poor","Needs Improvement", ""))</f>
        <v>Needs Improvement</v>
      </c>
      <c r="I14" s="13" t="str">
        <f>IF(G14="Good","Middle Tier",IF(G14="Poor","Needs Improvement", "Top Tier"))</f>
        <v>Needs Improvement</v>
      </c>
      <c r="J14" s="14" t="str">
        <f>_xlfn.SWITCH(TRUE,AND(E14="Rural",F14="Public"),"Yes",AND(E14="Suburban",F14="Private"),"Yes",AND(E14="Urban",F14="Public"),"No","Not Defined")</f>
        <v>Not Defined</v>
      </c>
      <c r="K14" s="14" t="str">
        <f>_xlfn.SWITCH(TRUE,AND(F14="Rural",G14="Public"),"Yes",AND(F14="Suburban",G14="Private"),"Yes",AND(F14="Urban",G14="Public"),"No","Not Defined")</f>
        <v>Not Defined</v>
      </c>
    </row>
    <row r="15" spans="1:15" ht="14.55" customHeight="1">
      <c r="B15" s="12">
        <f>B14+1</f>
        <v>2</v>
      </c>
      <c r="C15" s="13" t="s">
        <v>17</v>
      </c>
      <c r="D15" s="13" t="s">
        <v>18</v>
      </c>
      <c r="E15" s="13" t="s">
        <v>19</v>
      </c>
      <c r="F15" s="13" t="s">
        <v>20</v>
      </c>
      <c r="G15" s="13" t="s">
        <v>16</v>
      </c>
      <c r="H15" s="13" t="str">
        <f t="shared" ref="H15:H33" si="0">IF(G15="Good","Top Tier",IF(G15="Poor","Needs Improvement", ""))</f>
        <v>Needs Improvement</v>
      </c>
      <c r="I15" s="13" t="str">
        <f t="shared" ref="I15:I33" si="1">IF(G15="Good","Middle Tier",IF(G15="Poor","Needs Improvement", "Top Tier"))</f>
        <v>Needs Improvement</v>
      </c>
      <c r="J15" s="14" t="str">
        <f t="shared" ref="J15:J33" si="2">_xlfn.SWITCH(TRUE,AND(E15="Rural",F15="Public"),"Yes",AND(E15="Suburban",F15="Private"),"Yes",AND(E15="Urban",F15="Public"),"No","Not Defined")</f>
        <v>Not Defined</v>
      </c>
      <c r="K15" s="14"/>
      <c r="L15" s="15" t="s">
        <v>9</v>
      </c>
      <c r="M15" s="15"/>
    </row>
    <row r="16" spans="1:15" ht="14.55" customHeight="1">
      <c r="B16" s="12">
        <f t="shared" ref="B16:B33" si="3">B15+1</f>
        <v>3</v>
      </c>
      <c r="C16" s="13" t="s">
        <v>21</v>
      </c>
      <c r="D16" s="13" t="s">
        <v>22</v>
      </c>
      <c r="E16" s="13" t="s">
        <v>19</v>
      </c>
      <c r="F16" s="13" t="s">
        <v>20</v>
      </c>
      <c r="G16" s="13" t="s">
        <v>16</v>
      </c>
      <c r="H16" s="13" t="str">
        <f t="shared" si="0"/>
        <v>Needs Improvement</v>
      </c>
      <c r="I16" s="13" t="str">
        <f t="shared" si="1"/>
        <v>Needs Improvement</v>
      </c>
      <c r="J16" s="14" t="str">
        <f t="shared" si="2"/>
        <v>Not Defined</v>
      </c>
      <c r="K16" s="14"/>
      <c r="L16" s="16" t="s">
        <v>23</v>
      </c>
      <c r="M16" s="16" t="s">
        <v>24</v>
      </c>
    </row>
    <row r="17" spans="2:14" ht="14.55" customHeight="1">
      <c r="B17" s="12">
        <f t="shared" si="3"/>
        <v>4</v>
      </c>
      <c r="C17" s="13" t="s">
        <v>25</v>
      </c>
      <c r="D17" s="13" t="s">
        <v>26</v>
      </c>
      <c r="E17" s="13" t="s">
        <v>19</v>
      </c>
      <c r="F17" s="13" t="s">
        <v>20</v>
      </c>
      <c r="G17" s="13" t="s">
        <v>27</v>
      </c>
      <c r="H17" s="13" t="str">
        <f t="shared" si="0"/>
        <v/>
      </c>
      <c r="I17" s="13" t="str">
        <f t="shared" si="1"/>
        <v>Top Tier</v>
      </c>
      <c r="J17" s="14" t="str">
        <f t="shared" si="2"/>
        <v>Not Defined</v>
      </c>
      <c r="K17" s="14"/>
      <c r="L17" s="16" t="s">
        <v>16</v>
      </c>
      <c r="M17" s="16" t="s">
        <v>28</v>
      </c>
    </row>
    <row r="18" spans="2:14" ht="14.55" customHeight="1">
      <c r="B18" s="12">
        <f t="shared" si="3"/>
        <v>5</v>
      </c>
      <c r="C18" s="13" t="s">
        <v>29</v>
      </c>
      <c r="D18" s="13" t="s">
        <v>30</v>
      </c>
      <c r="E18" s="13" t="s">
        <v>31</v>
      </c>
      <c r="F18" s="13" t="s">
        <v>15</v>
      </c>
      <c r="G18" s="13" t="s">
        <v>23</v>
      </c>
      <c r="H18" s="13" t="str">
        <f t="shared" si="0"/>
        <v>Top Tier</v>
      </c>
      <c r="I18" s="13" t="str">
        <f t="shared" si="1"/>
        <v>Middle Tier</v>
      </c>
      <c r="J18" s="14" t="str">
        <f t="shared" si="2"/>
        <v>Yes</v>
      </c>
      <c r="K18" s="14"/>
    </row>
    <row r="19" spans="2:14" ht="14.55" customHeight="1">
      <c r="B19" s="12">
        <f t="shared" si="3"/>
        <v>6</v>
      </c>
      <c r="C19" s="13" t="s">
        <v>32</v>
      </c>
      <c r="D19" s="13" t="s">
        <v>33</v>
      </c>
      <c r="E19" s="13" t="s">
        <v>31</v>
      </c>
      <c r="F19" s="13" t="s">
        <v>20</v>
      </c>
      <c r="G19" s="13" t="s">
        <v>27</v>
      </c>
      <c r="H19" s="13" t="str">
        <f t="shared" si="0"/>
        <v/>
      </c>
      <c r="I19" s="13" t="str">
        <f t="shared" si="1"/>
        <v>Top Tier</v>
      </c>
      <c r="J19" s="14" t="str">
        <f t="shared" si="2"/>
        <v>Not Defined</v>
      </c>
      <c r="K19" s="14"/>
      <c r="L19" s="15" t="s">
        <v>10</v>
      </c>
      <c r="M19" s="15"/>
    </row>
    <row r="20" spans="2:14" ht="14.55" customHeight="1">
      <c r="B20" s="12">
        <f t="shared" si="3"/>
        <v>7</v>
      </c>
      <c r="C20" s="13" t="s">
        <v>34</v>
      </c>
      <c r="D20" s="13" t="s">
        <v>35</v>
      </c>
      <c r="E20" s="13" t="s">
        <v>31</v>
      </c>
      <c r="F20" s="13" t="s">
        <v>15</v>
      </c>
      <c r="G20" s="13" t="s">
        <v>23</v>
      </c>
      <c r="H20" s="13" t="str">
        <f t="shared" si="0"/>
        <v>Top Tier</v>
      </c>
      <c r="I20" s="13" t="str">
        <f t="shared" si="1"/>
        <v>Middle Tier</v>
      </c>
      <c r="J20" s="14" t="str">
        <f t="shared" si="2"/>
        <v>Yes</v>
      </c>
      <c r="K20" s="14"/>
      <c r="L20" s="16" t="s">
        <v>36</v>
      </c>
      <c r="M20" s="16" t="s">
        <v>24</v>
      </c>
    </row>
    <row r="21" spans="2:14" ht="14.55" customHeight="1">
      <c r="B21" s="12">
        <f t="shared" si="3"/>
        <v>8</v>
      </c>
      <c r="C21" s="13" t="s">
        <v>37</v>
      </c>
      <c r="D21" s="13" t="s">
        <v>38</v>
      </c>
      <c r="E21" s="13" t="s">
        <v>19</v>
      </c>
      <c r="F21" s="13" t="s">
        <v>15</v>
      </c>
      <c r="G21" s="13" t="s">
        <v>27</v>
      </c>
      <c r="H21" s="13" t="str">
        <f t="shared" si="0"/>
        <v/>
      </c>
      <c r="I21" s="13" t="str">
        <f t="shared" si="1"/>
        <v>Top Tier</v>
      </c>
      <c r="J21" s="14" t="str">
        <f t="shared" si="2"/>
        <v>No</v>
      </c>
      <c r="K21" s="14"/>
      <c r="L21" s="16" t="s">
        <v>23</v>
      </c>
      <c r="M21" s="16" t="s">
        <v>39</v>
      </c>
    </row>
    <row r="22" spans="2:14" ht="14.55" customHeight="1">
      <c r="B22" s="12">
        <f t="shared" si="3"/>
        <v>9</v>
      </c>
      <c r="C22" s="13" t="s">
        <v>40</v>
      </c>
      <c r="D22" s="13" t="s">
        <v>41</v>
      </c>
      <c r="E22" s="13" t="s">
        <v>14</v>
      </c>
      <c r="F22" s="13" t="s">
        <v>15</v>
      </c>
      <c r="G22" s="13" t="s">
        <v>23</v>
      </c>
      <c r="H22" s="13" t="str">
        <f t="shared" si="0"/>
        <v>Top Tier</v>
      </c>
      <c r="I22" s="13" t="str">
        <f t="shared" si="1"/>
        <v>Middle Tier</v>
      </c>
      <c r="J22" s="14" t="str">
        <f t="shared" si="2"/>
        <v>Not Defined</v>
      </c>
      <c r="K22" s="14"/>
      <c r="L22" s="16" t="s">
        <v>16</v>
      </c>
      <c r="M22" s="16" t="s">
        <v>28</v>
      </c>
    </row>
    <row r="23" spans="2:14" ht="14.55" customHeight="1">
      <c r="B23" s="12">
        <f t="shared" si="3"/>
        <v>10</v>
      </c>
      <c r="C23" s="13" t="s">
        <v>42</v>
      </c>
      <c r="D23" s="13" t="s">
        <v>43</v>
      </c>
      <c r="E23" s="13" t="s">
        <v>19</v>
      </c>
      <c r="F23" s="13" t="s">
        <v>20</v>
      </c>
      <c r="G23" s="13" t="s">
        <v>16</v>
      </c>
      <c r="H23" s="13" t="str">
        <f t="shared" si="0"/>
        <v>Needs Improvement</v>
      </c>
      <c r="I23" s="13" t="str">
        <f t="shared" si="1"/>
        <v>Needs Improvement</v>
      </c>
      <c r="J23" s="14" t="str">
        <f t="shared" si="2"/>
        <v>Not Defined</v>
      </c>
      <c r="K23" s="14"/>
    </row>
    <row r="24" spans="2:14" ht="14.55" customHeight="1" thickBot="1">
      <c r="B24" s="12">
        <f t="shared" si="3"/>
        <v>11</v>
      </c>
      <c r="C24" s="13" t="s">
        <v>44</v>
      </c>
      <c r="D24" s="13" t="s">
        <v>45</v>
      </c>
      <c r="E24" s="13" t="s">
        <v>19</v>
      </c>
      <c r="F24" s="13" t="s">
        <v>20</v>
      </c>
      <c r="G24" s="13" t="s">
        <v>23</v>
      </c>
      <c r="H24" s="13" t="str">
        <f t="shared" si="0"/>
        <v>Top Tier</v>
      </c>
      <c r="I24" s="13" t="str">
        <f t="shared" si="1"/>
        <v>Middle Tier</v>
      </c>
      <c r="J24" s="14" t="str">
        <f t="shared" si="2"/>
        <v>Not Defined</v>
      </c>
      <c r="K24" s="14"/>
      <c r="L24" s="9" t="s">
        <v>46</v>
      </c>
      <c r="M24" s="9"/>
      <c r="N24" s="9"/>
    </row>
    <row r="25" spans="2:14" ht="14.55" customHeight="1">
      <c r="B25" s="12">
        <f t="shared" si="3"/>
        <v>12</v>
      </c>
      <c r="C25" s="13" t="s">
        <v>47</v>
      </c>
      <c r="D25" s="13" t="s">
        <v>48</v>
      </c>
      <c r="E25" s="13" t="s">
        <v>14</v>
      </c>
      <c r="F25" s="13" t="s">
        <v>15</v>
      </c>
      <c r="G25" s="13" t="s">
        <v>16</v>
      </c>
      <c r="H25" s="13" t="str">
        <f t="shared" si="0"/>
        <v>Needs Improvement</v>
      </c>
      <c r="I25" s="13" t="str">
        <f t="shared" si="1"/>
        <v>Needs Improvement</v>
      </c>
      <c r="J25" s="14" t="str">
        <f t="shared" si="2"/>
        <v>Not Defined</v>
      </c>
      <c r="K25" s="14"/>
      <c r="L25" s="17" t="s">
        <v>6</v>
      </c>
      <c r="M25" s="17" t="s">
        <v>7</v>
      </c>
      <c r="N25" s="17" t="s">
        <v>49</v>
      </c>
    </row>
    <row r="26" spans="2:14" ht="14.55" customHeight="1">
      <c r="B26" s="12">
        <f t="shared" si="3"/>
        <v>13</v>
      </c>
      <c r="C26" s="13" t="s">
        <v>50</v>
      </c>
      <c r="D26" s="13" t="s">
        <v>51</v>
      </c>
      <c r="E26" s="13" t="s">
        <v>19</v>
      </c>
      <c r="F26" s="13" t="s">
        <v>20</v>
      </c>
      <c r="G26" s="13" t="s">
        <v>23</v>
      </c>
      <c r="H26" s="13" t="str">
        <f t="shared" si="0"/>
        <v>Top Tier</v>
      </c>
      <c r="I26" s="13" t="str">
        <f t="shared" si="1"/>
        <v>Middle Tier</v>
      </c>
      <c r="J26" s="14" t="str">
        <f t="shared" si="2"/>
        <v>Not Defined</v>
      </c>
      <c r="K26" s="14"/>
      <c r="L26" s="16" t="s">
        <v>31</v>
      </c>
      <c r="M26" s="16" t="s">
        <v>15</v>
      </c>
      <c r="N26" s="16" t="s">
        <v>52</v>
      </c>
    </row>
    <row r="27" spans="2:14" ht="14.55" customHeight="1">
      <c r="B27" s="12">
        <f t="shared" si="3"/>
        <v>14</v>
      </c>
      <c r="C27" s="13" t="s">
        <v>53</v>
      </c>
      <c r="D27" s="13" t="s">
        <v>54</v>
      </c>
      <c r="E27" s="13" t="s">
        <v>19</v>
      </c>
      <c r="F27" s="13" t="s">
        <v>15</v>
      </c>
      <c r="G27" s="13" t="s">
        <v>23</v>
      </c>
      <c r="H27" s="13" t="str">
        <f t="shared" si="0"/>
        <v>Top Tier</v>
      </c>
      <c r="I27" s="13" t="str">
        <f t="shared" si="1"/>
        <v>Middle Tier</v>
      </c>
      <c r="J27" s="14" t="str">
        <f t="shared" si="2"/>
        <v>No</v>
      </c>
      <c r="K27" s="14"/>
      <c r="L27" s="16" t="s">
        <v>14</v>
      </c>
      <c r="M27" s="16" t="s">
        <v>20</v>
      </c>
      <c r="N27" s="16" t="s">
        <v>52</v>
      </c>
    </row>
    <row r="28" spans="2:14" ht="14.55" customHeight="1">
      <c r="B28" s="12">
        <f t="shared" si="3"/>
        <v>15</v>
      </c>
      <c r="C28" s="13" t="s">
        <v>55</v>
      </c>
      <c r="D28" s="13" t="s">
        <v>56</v>
      </c>
      <c r="E28" s="13" t="s">
        <v>14</v>
      </c>
      <c r="F28" s="13" t="s">
        <v>20</v>
      </c>
      <c r="G28" s="13" t="s">
        <v>16</v>
      </c>
      <c r="H28" s="13" t="str">
        <f t="shared" si="0"/>
        <v>Needs Improvement</v>
      </c>
      <c r="I28" s="13" t="str">
        <f t="shared" si="1"/>
        <v>Needs Improvement</v>
      </c>
      <c r="J28" s="14" t="str">
        <f t="shared" si="2"/>
        <v>Yes</v>
      </c>
      <c r="K28" s="14"/>
      <c r="L28" s="16" t="s">
        <v>19</v>
      </c>
      <c r="M28" s="16" t="s">
        <v>15</v>
      </c>
      <c r="N28" s="16" t="s">
        <v>57</v>
      </c>
    </row>
    <row r="29" spans="2:14" ht="14.55" customHeight="1">
      <c r="B29" s="12">
        <f t="shared" si="3"/>
        <v>16</v>
      </c>
      <c r="C29" s="13" t="s">
        <v>58</v>
      </c>
      <c r="D29" s="13" t="s">
        <v>59</v>
      </c>
      <c r="E29" s="13" t="s">
        <v>14</v>
      </c>
      <c r="F29" s="13" t="s">
        <v>20</v>
      </c>
      <c r="G29" s="13" t="s">
        <v>16</v>
      </c>
      <c r="H29" s="13" t="str">
        <f t="shared" si="0"/>
        <v>Needs Improvement</v>
      </c>
      <c r="I29" s="13" t="str">
        <f t="shared" si="1"/>
        <v>Needs Improvement</v>
      </c>
      <c r="J29" s="14" t="str">
        <f t="shared" si="2"/>
        <v>Yes</v>
      </c>
      <c r="K29" s="14"/>
    </row>
    <row r="30" spans="2:14" ht="14.55" customHeight="1">
      <c r="B30" s="12">
        <f t="shared" si="3"/>
        <v>17</v>
      </c>
      <c r="C30" s="13" t="s">
        <v>60</v>
      </c>
      <c r="D30" s="13" t="s">
        <v>61</v>
      </c>
      <c r="E30" s="13" t="s">
        <v>19</v>
      </c>
      <c r="F30" s="13" t="s">
        <v>15</v>
      </c>
      <c r="G30" s="13" t="s">
        <v>27</v>
      </c>
      <c r="H30" s="13" t="str">
        <f t="shared" si="0"/>
        <v/>
      </c>
      <c r="I30" s="13" t="str">
        <f t="shared" si="1"/>
        <v>Top Tier</v>
      </c>
      <c r="J30" s="14" t="str">
        <f t="shared" si="2"/>
        <v>No</v>
      </c>
      <c r="K30" s="14"/>
    </row>
    <row r="31" spans="2:14" ht="14.55" customHeight="1">
      <c r="B31" s="12">
        <f t="shared" si="3"/>
        <v>18</v>
      </c>
      <c r="C31" s="13" t="s">
        <v>62</v>
      </c>
      <c r="D31" s="13" t="s">
        <v>63</v>
      </c>
      <c r="E31" s="13" t="s">
        <v>14</v>
      </c>
      <c r="F31" s="13" t="s">
        <v>20</v>
      </c>
      <c r="G31" s="13" t="s">
        <v>27</v>
      </c>
      <c r="H31" s="13" t="str">
        <f t="shared" si="0"/>
        <v/>
      </c>
      <c r="I31" s="13" t="str">
        <f t="shared" si="1"/>
        <v>Top Tier</v>
      </c>
      <c r="J31" s="14" t="str">
        <f t="shared" si="2"/>
        <v>Yes</v>
      </c>
      <c r="K31" s="14"/>
    </row>
    <row r="32" spans="2:14" ht="14.55" customHeight="1">
      <c r="B32" s="12">
        <f t="shared" si="3"/>
        <v>19</v>
      </c>
      <c r="C32" s="13" t="s">
        <v>64</v>
      </c>
      <c r="D32" s="13" t="s">
        <v>65</v>
      </c>
      <c r="E32" s="13" t="s">
        <v>31</v>
      </c>
      <c r="F32" s="13" t="s">
        <v>20</v>
      </c>
      <c r="G32" s="13" t="s">
        <v>27</v>
      </c>
      <c r="H32" s="13" t="str">
        <f t="shared" si="0"/>
        <v/>
      </c>
      <c r="I32" s="13" t="str">
        <f t="shared" si="1"/>
        <v>Top Tier</v>
      </c>
      <c r="J32" s="14" t="str">
        <f t="shared" si="2"/>
        <v>Not Defined</v>
      </c>
      <c r="K32" s="14"/>
    </row>
    <row r="33" spans="1:15" ht="14.55" customHeight="1">
      <c r="B33" s="18">
        <f t="shared" si="3"/>
        <v>20</v>
      </c>
      <c r="C33" s="19" t="s">
        <v>66</v>
      </c>
      <c r="D33" s="19" t="s">
        <v>67</v>
      </c>
      <c r="E33" s="19" t="s">
        <v>19</v>
      </c>
      <c r="F33" s="19" t="s">
        <v>15</v>
      </c>
      <c r="G33" s="19" t="s">
        <v>23</v>
      </c>
      <c r="H33" s="13" t="str">
        <f t="shared" si="0"/>
        <v>Top Tier</v>
      </c>
      <c r="I33" s="13" t="str">
        <f t="shared" si="1"/>
        <v>Middle Tier</v>
      </c>
      <c r="J33" s="14" t="str">
        <f t="shared" si="2"/>
        <v>No</v>
      </c>
      <c r="K33" s="16"/>
    </row>
    <row r="34" spans="1:15" ht="13.8"/>
    <row r="35" spans="1:15" ht="13.8"/>
    <row r="36" spans="1:15" s="15" customFormat="1" ht="14.4" thickBot="1">
      <c r="A36"/>
      <c r="B36" s="8" t="s">
        <v>68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ht="13.8"/>
    <row r="38" spans="1:15" ht="13.8">
      <c r="C38" s="20" t="s">
        <v>69</v>
      </c>
      <c r="D38" s="20" t="s">
        <v>70</v>
      </c>
      <c r="E38" s="20" t="s">
        <v>71</v>
      </c>
      <c r="F38" s="20" t="s">
        <v>72</v>
      </c>
      <c r="G38" s="20" t="s">
        <v>73</v>
      </c>
      <c r="H38" s="21" t="s">
        <v>74</v>
      </c>
    </row>
    <row r="39" spans="1:15" ht="13.8">
      <c r="C39" s="12" t="s">
        <v>75</v>
      </c>
      <c r="D39" s="12" t="s">
        <v>76</v>
      </c>
      <c r="E39" s="12">
        <v>21</v>
      </c>
      <c r="F39" s="12" t="s">
        <v>77</v>
      </c>
      <c r="G39" s="12">
        <v>57</v>
      </c>
      <c r="H39" s="14" t="str">
        <f>_xlfn.IFS(G39&lt;=59,"F",G39&lt;=69,"E",G39&lt;=79,"D",G39&lt;=89,"C",G39&lt;=99,"B",G39=100,"A")</f>
        <v>F</v>
      </c>
    </row>
    <row r="40" spans="1:15" ht="13.8">
      <c r="C40" s="12" t="s">
        <v>78</v>
      </c>
      <c r="D40" s="12" t="s">
        <v>79</v>
      </c>
      <c r="E40" s="12">
        <v>18</v>
      </c>
      <c r="F40" s="12" t="s">
        <v>80</v>
      </c>
      <c r="G40" s="12">
        <v>63</v>
      </c>
      <c r="H40" s="14" t="str">
        <f t="shared" ref="H40:H58" si="4">_xlfn.IFS(G40&lt;=59,"F",G40&lt;=69,"E",G40&lt;=79,"D",G40&lt;=89,"C",G40&lt;=99,"B",G40=100,"A")</f>
        <v>E</v>
      </c>
      <c r="K40" s="17" t="s">
        <v>81</v>
      </c>
      <c r="L40" s="17" t="s">
        <v>74</v>
      </c>
    </row>
    <row r="41" spans="1:15" ht="13.8">
      <c r="C41" s="12" t="s">
        <v>82</v>
      </c>
      <c r="D41" s="12" t="s">
        <v>83</v>
      </c>
      <c r="E41" s="12">
        <v>19</v>
      </c>
      <c r="F41" s="12" t="s">
        <v>77</v>
      </c>
      <c r="G41" s="12">
        <v>72</v>
      </c>
      <c r="H41" s="14" t="str">
        <f t="shared" si="4"/>
        <v>D</v>
      </c>
      <c r="K41" s="22" t="s">
        <v>84</v>
      </c>
      <c r="L41" s="16" t="s">
        <v>85</v>
      </c>
    </row>
    <row r="42" spans="1:15" ht="13.8">
      <c r="C42" s="12" t="s">
        <v>86</v>
      </c>
      <c r="D42" s="12" t="s">
        <v>87</v>
      </c>
      <c r="E42" s="12">
        <v>21</v>
      </c>
      <c r="F42" s="12" t="s">
        <v>80</v>
      </c>
      <c r="G42" s="12">
        <v>89</v>
      </c>
      <c r="H42" s="14" t="str">
        <f t="shared" si="4"/>
        <v>C</v>
      </c>
      <c r="K42" s="22" t="s">
        <v>88</v>
      </c>
      <c r="L42" s="16" t="s">
        <v>89</v>
      </c>
    </row>
    <row r="43" spans="1:15" ht="13.8">
      <c r="C43" s="12" t="s">
        <v>90</v>
      </c>
      <c r="D43" s="12" t="s">
        <v>91</v>
      </c>
      <c r="E43" s="12">
        <v>17</v>
      </c>
      <c r="F43" s="12" t="s">
        <v>92</v>
      </c>
      <c r="G43" s="12">
        <v>70</v>
      </c>
      <c r="H43" s="14" t="str">
        <f t="shared" si="4"/>
        <v>D</v>
      </c>
      <c r="K43" s="22" t="s">
        <v>93</v>
      </c>
      <c r="L43" s="16" t="s">
        <v>94</v>
      </c>
    </row>
    <row r="44" spans="1:15" ht="13.8">
      <c r="C44" s="12" t="s">
        <v>95</v>
      </c>
      <c r="D44" s="12" t="s">
        <v>96</v>
      </c>
      <c r="E44" s="12">
        <v>19</v>
      </c>
      <c r="F44" s="12" t="s">
        <v>92</v>
      </c>
      <c r="G44" s="12">
        <v>65</v>
      </c>
      <c r="H44" s="14" t="str">
        <f t="shared" si="4"/>
        <v>E</v>
      </c>
      <c r="K44" s="22" t="s">
        <v>97</v>
      </c>
      <c r="L44" s="16" t="s">
        <v>98</v>
      </c>
    </row>
    <row r="45" spans="1:15" ht="13.8">
      <c r="C45" s="12" t="s">
        <v>99</v>
      </c>
      <c r="D45" s="12" t="s">
        <v>100</v>
      </c>
      <c r="E45" s="12">
        <v>19</v>
      </c>
      <c r="F45" s="12" t="s">
        <v>92</v>
      </c>
      <c r="G45" s="12">
        <v>94</v>
      </c>
      <c r="H45" s="14" t="str">
        <f t="shared" si="4"/>
        <v>B</v>
      </c>
      <c r="K45" s="22" t="s">
        <v>101</v>
      </c>
      <c r="L45" s="16" t="s">
        <v>102</v>
      </c>
    </row>
    <row r="46" spans="1:15" ht="13.8">
      <c r="C46" s="12" t="s">
        <v>103</v>
      </c>
      <c r="D46" s="12" t="s">
        <v>104</v>
      </c>
      <c r="E46" s="12">
        <v>21</v>
      </c>
      <c r="F46" s="12" t="s">
        <v>77</v>
      </c>
      <c r="G46" s="12">
        <v>67</v>
      </c>
      <c r="H46" s="14" t="str">
        <f t="shared" si="4"/>
        <v>E</v>
      </c>
      <c r="K46" s="22">
        <v>100</v>
      </c>
      <c r="L46" s="16" t="s">
        <v>105</v>
      </c>
    </row>
    <row r="47" spans="1:15" ht="13.8">
      <c r="C47" s="12" t="s">
        <v>106</v>
      </c>
      <c r="D47" s="12" t="s">
        <v>107</v>
      </c>
      <c r="E47" s="12">
        <v>16</v>
      </c>
      <c r="F47" s="12" t="s">
        <v>77</v>
      </c>
      <c r="G47" s="12">
        <v>96</v>
      </c>
      <c r="H47" s="14" t="str">
        <f t="shared" si="4"/>
        <v>B</v>
      </c>
    </row>
    <row r="48" spans="1:15" ht="13.8">
      <c r="C48" s="12" t="s">
        <v>108</v>
      </c>
      <c r="D48" s="12" t="s">
        <v>109</v>
      </c>
      <c r="E48" s="12">
        <v>17</v>
      </c>
      <c r="F48" s="12" t="s">
        <v>77</v>
      </c>
      <c r="G48" s="12">
        <v>73</v>
      </c>
      <c r="H48" s="14" t="str">
        <f t="shared" si="4"/>
        <v>D</v>
      </c>
    </row>
    <row r="49" spans="2:15" ht="13.8">
      <c r="C49" s="12" t="s">
        <v>110</v>
      </c>
      <c r="D49" s="12" t="s">
        <v>111</v>
      </c>
      <c r="E49" s="12">
        <v>21</v>
      </c>
      <c r="F49" s="12" t="s">
        <v>77</v>
      </c>
      <c r="G49" s="12">
        <v>75</v>
      </c>
      <c r="H49" s="14" t="str">
        <f t="shared" si="4"/>
        <v>D</v>
      </c>
    </row>
    <row r="50" spans="2:15" ht="13.8">
      <c r="C50" s="12" t="s">
        <v>112</v>
      </c>
      <c r="D50" s="12" t="s">
        <v>113</v>
      </c>
      <c r="E50" s="12">
        <v>17</v>
      </c>
      <c r="F50" s="12" t="s">
        <v>92</v>
      </c>
      <c r="G50" s="12">
        <v>74</v>
      </c>
      <c r="H50" s="14" t="str">
        <f t="shared" si="4"/>
        <v>D</v>
      </c>
    </row>
    <row r="51" spans="2:15" ht="13.8">
      <c r="C51" s="12" t="s">
        <v>114</v>
      </c>
      <c r="D51" s="12" t="s">
        <v>115</v>
      </c>
      <c r="E51" s="12">
        <v>17</v>
      </c>
      <c r="F51" s="12" t="s">
        <v>92</v>
      </c>
      <c r="G51" s="12">
        <v>94</v>
      </c>
      <c r="H51" s="14" t="str">
        <f t="shared" si="4"/>
        <v>B</v>
      </c>
    </row>
    <row r="52" spans="2:15" ht="14.55" customHeight="1">
      <c r="C52" s="12" t="s">
        <v>116</v>
      </c>
      <c r="D52" s="12" t="s">
        <v>117</v>
      </c>
      <c r="E52" s="12">
        <v>19</v>
      </c>
      <c r="F52" s="12" t="s">
        <v>92</v>
      </c>
      <c r="G52" s="12">
        <v>90</v>
      </c>
      <c r="H52" s="14" t="str">
        <f t="shared" si="4"/>
        <v>B</v>
      </c>
    </row>
    <row r="53" spans="2:15" ht="14.55" customHeight="1">
      <c r="C53" s="12" t="s">
        <v>118</v>
      </c>
      <c r="D53" s="12" t="s">
        <v>119</v>
      </c>
      <c r="E53" s="12">
        <v>18</v>
      </c>
      <c r="F53" s="12" t="s">
        <v>77</v>
      </c>
      <c r="G53" s="12">
        <v>78</v>
      </c>
      <c r="H53" s="14" t="str">
        <f t="shared" si="4"/>
        <v>D</v>
      </c>
    </row>
    <row r="54" spans="2:15" ht="14.55" customHeight="1">
      <c r="C54" s="12" t="s">
        <v>120</v>
      </c>
      <c r="D54" s="12" t="s">
        <v>121</v>
      </c>
      <c r="E54" s="12">
        <v>17</v>
      </c>
      <c r="F54" s="12" t="s">
        <v>77</v>
      </c>
      <c r="G54" s="12">
        <v>64</v>
      </c>
      <c r="H54" s="14" t="str">
        <f t="shared" si="4"/>
        <v>E</v>
      </c>
    </row>
    <row r="55" spans="2:15" ht="14.55" customHeight="1">
      <c r="C55" s="12" t="s">
        <v>122</v>
      </c>
      <c r="D55" s="12" t="s">
        <v>123</v>
      </c>
      <c r="E55" s="12">
        <v>20</v>
      </c>
      <c r="F55" s="12" t="s">
        <v>80</v>
      </c>
      <c r="G55" s="12">
        <v>94</v>
      </c>
      <c r="H55" s="14" t="str">
        <f t="shared" si="4"/>
        <v>B</v>
      </c>
    </row>
    <row r="56" spans="2:15" ht="14.55" customHeight="1">
      <c r="C56" s="12" t="s">
        <v>124</v>
      </c>
      <c r="D56" s="12" t="s">
        <v>125</v>
      </c>
      <c r="E56" s="12">
        <v>19</v>
      </c>
      <c r="F56" s="12" t="s">
        <v>80</v>
      </c>
      <c r="G56" s="12">
        <v>50</v>
      </c>
      <c r="H56" s="14" t="str">
        <f t="shared" si="4"/>
        <v>F</v>
      </c>
    </row>
    <row r="57" spans="2:15" ht="14.55" customHeight="1">
      <c r="C57" s="12" t="s">
        <v>126</v>
      </c>
      <c r="D57" s="12" t="s">
        <v>127</v>
      </c>
      <c r="E57" s="12">
        <v>16</v>
      </c>
      <c r="F57" s="12" t="s">
        <v>92</v>
      </c>
      <c r="G57" s="12">
        <v>74</v>
      </c>
      <c r="H57" s="14" t="str">
        <f t="shared" si="4"/>
        <v>D</v>
      </c>
    </row>
    <row r="58" spans="2:15" ht="14.55" customHeight="1">
      <c r="C58" s="18" t="s">
        <v>128</v>
      </c>
      <c r="D58" s="18" t="s">
        <v>129</v>
      </c>
      <c r="E58" s="18">
        <v>18</v>
      </c>
      <c r="F58" s="18" t="s">
        <v>77</v>
      </c>
      <c r="G58" s="18">
        <v>56</v>
      </c>
      <c r="H58" s="14" t="str">
        <f t="shared" si="4"/>
        <v>F</v>
      </c>
    </row>
    <row r="59" spans="2:15" ht="14.55" customHeight="1"/>
    <row r="60" spans="2:15" ht="14.55" customHeight="1"/>
    <row r="61" spans="2:15" ht="14.55" customHeight="1" thickBot="1">
      <c r="B61" s="8" t="s">
        <v>130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2:15" ht="14.55" customHeight="1"/>
    <row r="63" spans="2:15" ht="14.55" customHeight="1">
      <c r="C63" s="20" t="s">
        <v>131</v>
      </c>
      <c r="D63" s="20" t="s">
        <v>132</v>
      </c>
      <c r="E63" s="20" t="s">
        <v>133</v>
      </c>
      <c r="F63" s="20" t="s">
        <v>134</v>
      </c>
      <c r="G63" s="20" t="s">
        <v>135</v>
      </c>
      <c r="H63" s="21" t="s">
        <v>136</v>
      </c>
    </row>
    <row r="64" spans="2:15" ht="14.55" customHeight="1" thickBot="1">
      <c r="C64" s="12" t="s">
        <v>137</v>
      </c>
      <c r="D64" s="12" t="s">
        <v>138</v>
      </c>
      <c r="E64" s="12" t="s">
        <v>139</v>
      </c>
      <c r="F64" s="23">
        <v>2059021</v>
      </c>
      <c r="G64" s="24">
        <v>412</v>
      </c>
      <c r="H64" s="14" t="str">
        <f>_xlfn.SWITCH(TRUE,AND(E64="Technology",G64&lt;=100),"Small",AND(E64="Technology",G64&gt;100,G64&lt;200),"Medium",AND(E64="Technology",G64&gt;200),"Large",AND(E64="Retail",G64&lt;=200),"Small",AND(E64="Retail",G64&gt;200,G64&lt;400),"Medium",AND(E64="Retail",G64&gt;400),"Large",AND(E64="Education",G64&lt;=150),"Small",AND(E64="Education",G64&gt;150,G64&lt;300),"Medium",AND(E64="Education",G64&gt;300),"Large","Other")</f>
        <v>Large</v>
      </c>
      <c r="K64" s="9" t="s">
        <v>140</v>
      </c>
      <c r="L64" s="9"/>
      <c r="M64" s="9"/>
    </row>
    <row r="65" spans="3:13" ht="14.55" customHeight="1">
      <c r="C65" s="12" t="s">
        <v>141</v>
      </c>
      <c r="D65" s="12" t="s">
        <v>142</v>
      </c>
      <c r="E65" s="12" t="s">
        <v>143</v>
      </c>
      <c r="F65" s="23">
        <v>1251482</v>
      </c>
      <c r="G65" s="24">
        <v>120</v>
      </c>
      <c r="H65" s="14" t="str">
        <f t="shared" ref="H65:H82" si="5">_xlfn.SWITCH(TRUE,AND(E65="Technology",G65&lt;=100),"Small",AND(E65="Technology",G65&gt;100,G65&lt;200),"Medium",AND(E65="Technology",G65&gt;200),"Large",AND(E65="Retail",G65&lt;=200),"Small",AND(E65="Retail",G65&gt;200,G65&lt;400),"Medium",AND(E65="Retail",G65&gt;400),"Large",AND(E65="Education",G65&lt;=150),"Small",AND(E65="Education",G65&gt;150,G65&lt;300),"Medium",AND(E65="Education",G65&gt;300),"Large","Other")</f>
        <v>Small</v>
      </c>
      <c r="K65" s="17" t="s">
        <v>133</v>
      </c>
      <c r="L65" s="17" t="s">
        <v>144</v>
      </c>
      <c r="M65" s="17" t="s">
        <v>145</v>
      </c>
    </row>
    <row r="66" spans="3:13" ht="14.55" customHeight="1">
      <c r="C66" s="12" t="s">
        <v>146</v>
      </c>
      <c r="D66" s="12" t="s">
        <v>147</v>
      </c>
      <c r="E66" s="12" t="s">
        <v>139</v>
      </c>
      <c r="F66" s="23">
        <v>592335</v>
      </c>
      <c r="G66" s="24">
        <v>79</v>
      </c>
      <c r="H66" s="14" t="str">
        <f t="shared" si="5"/>
        <v>Small</v>
      </c>
      <c r="K66" s="25" t="s">
        <v>139</v>
      </c>
      <c r="L66" s="25" t="s">
        <v>148</v>
      </c>
      <c r="M66" s="25" t="s">
        <v>149</v>
      </c>
    </row>
    <row r="67" spans="3:13" ht="14.55" customHeight="1">
      <c r="C67" s="12" t="s">
        <v>150</v>
      </c>
      <c r="D67" s="12" t="s">
        <v>151</v>
      </c>
      <c r="E67" s="12" t="s">
        <v>152</v>
      </c>
      <c r="F67" s="23">
        <v>3483977</v>
      </c>
      <c r="G67" s="24">
        <v>117</v>
      </c>
      <c r="H67" s="14" t="str">
        <f t="shared" si="5"/>
        <v>Small</v>
      </c>
      <c r="K67" s="16" t="s">
        <v>139</v>
      </c>
      <c r="L67" s="16" t="s">
        <v>153</v>
      </c>
      <c r="M67" s="16" t="s">
        <v>154</v>
      </c>
    </row>
    <row r="68" spans="3:13" ht="14.55" customHeight="1">
      <c r="C68" s="12" t="s">
        <v>155</v>
      </c>
      <c r="D68" s="12" t="s">
        <v>156</v>
      </c>
      <c r="E68" s="12" t="s">
        <v>152</v>
      </c>
      <c r="F68" s="23">
        <v>4320070</v>
      </c>
      <c r="G68" s="24">
        <v>460</v>
      </c>
      <c r="H68" s="14" t="str">
        <f t="shared" si="5"/>
        <v>Large</v>
      </c>
      <c r="K68" s="16" t="s">
        <v>139</v>
      </c>
      <c r="L68" s="16" t="s">
        <v>157</v>
      </c>
      <c r="M68" s="16" t="s">
        <v>158</v>
      </c>
    </row>
    <row r="69" spans="3:13" ht="14.55" customHeight="1">
      <c r="C69" s="12" t="s">
        <v>159</v>
      </c>
      <c r="D69" s="12" t="s">
        <v>160</v>
      </c>
      <c r="E69" s="12" t="s">
        <v>143</v>
      </c>
      <c r="F69" s="23">
        <v>3610920</v>
      </c>
      <c r="G69" s="24">
        <v>424</v>
      </c>
      <c r="H69" s="14" t="str">
        <f t="shared" si="5"/>
        <v>Large</v>
      </c>
      <c r="K69" s="16" t="s">
        <v>143</v>
      </c>
      <c r="L69" s="16" t="s">
        <v>161</v>
      </c>
      <c r="M69" s="16" t="s">
        <v>149</v>
      </c>
    </row>
    <row r="70" spans="3:13" ht="14.55" customHeight="1">
      <c r="C70" s="12" t="s">
        <v>162</v>
      </c>
      <c r="D70" s="12" t="s">
        <v>163</v>
      </c>
      <c r="E70" s="12" t="s">
        <v>143</v>
      </c>
      <c r="F70" s="23">
        <v>2534413</v>
      </c>
      <c r="G70" s="24">
        <v>426</v>
      </c>
      <c r="H70" s="14" t="str">
        <f t="shared" si="5"/>
        <v>Large</v>
      </c>
      <c r="K70" s="16" t="s">
        <v>143</v>
      </c>
      <c r="L70" s="16" t="s">
        <v>164</v>
      </c>
      <c r="M70" s="16" t="s">
        <v>154</v>
      </c>
    </row>
    <row r="71" spans="3:13" ht="14.55" customHeight="1">
      <c r="C71" s="12" t="s">
        <v>165</v>
      </c>
      <c r="D71" s="12" t="s">
        <v>166</v>
      </c>
      <c r="E71" s="12" t="s">
        <v>167</v>
      </c>
      <c r="F71" s="23">
        <v>2957360</v>
      </c>
      <c r="G71" s="24">
        <v>108</v>
      </c>
      <c r="H71" s="14" t="str">
        <f t="shared" si="5"/>
        <v>Other</v>
      </c>
      <c r="K71" s="16" t="s">
        <v>143</v>
      </c>
      <c r="L71" s="16" t="s">
        <v>168</v>
      </c>
      <c r="M71" s="16" t="s">
        <v>158</v>
      </c>
    </row>
    <row r="72" spans="3:13" ht="14.55" customHeight="1">
      <c r="C72" s="12" t="s">
        <v>169</v>
      </c>
      <c r="D72" s="12" t="s">
        <v>170</v>
      </c>
      <c r="E72" s="12" t="s">
        <v>167</v>
      </c>
      <c r="F72" s="23">
        <v>2832592</v>
      </c>
      <c r="G72" s="24">
        <v>344</v>
      </c>
      <c r="H72" s="14" t="str">
        <f t="shared" si="5"/>
        <v>Other</v>
      </c>
      <c r="K72" s="16" t="s">
        <v>152</v>
      </c>
      <c r="L72" s="16" t="s">
        <v>171</v>
      </c>
      <c r="M72" s="16" t="s">
        <v>149</v>
      </c>
    </row>
    <row r="73" spans="3:13" ht="14.55" customHeight="1">
      <c r="C73" s="12" t="s">
        <v>172</v>
      </c>
      <c r="D73" s="12" t="s">
        <v>173</v>
      </c>
      <c r="E73" s="12" t="s">
        <v>139</v>
      </c>
      <c r="F73" s="23">
        <v>2285000</v>
      </c>
      <c r="G73" s="24">
        <v>258</v>
      </c>
      <c r="H73" s="14" t="str">
        <f t="shared" si="5"/>
        <v>Large</v>
      </c>
      <c r="K73" s="16" t="s">
        <v>152</v>
      </c>
      <c r="L73" s="16" t="s">
        <v>174</v>
      </c>
      <c r="M73" s="16" t="s">
        <v>154</v>
      </c>
    </row>
    <row r="74" spans="3:13" ht="14.55" customHeight="1">
      <c r="C74" s="12" t="s">
        <v>175</v>
      </c>
      <c r="D74" s="12" t="s">
        <v>176</v>
      </c>
      <c r="E74" s="12" t="s">
        <v>152</v>
      </c>
      <c r="F74" s="23">
        <v>4372252</v>
      </c>
      <c r="G74" s="24">
        <v>231</v>
      </c>
      <c r="H74" s="14" t="str">
        <f t="shared" si="5"/>
        <v>Medium</v>
      </c>
      <c r="K74" s="16" t="s">
        <v>152</v>
      </c>
      <c r="L74" s="16" t="s">
        <v>177</v>
      </c>
      <c r="M74" s="16" t="s">
        <v>158</v>
      </c>
    </row>
    <row r="75" spans="3:13" ht="14.55" customHeight="1">
      <c r="C75" s="12" t="s">
        <v>178</v>
      </c>
      <c r="D75" s="12" t="s">
        <v>179</v>
      </c>
      <c r="E75" s="12" t="s">
        <v>152</v>
      </c>
      <c r="F75" s="23">
        <v>452690</v>
      </c>
      <c r="G75" s="24">
        <v>116</v>
      </c>
      <c r="H75" s="14" t="str">
        <f t="shared" si="5"/>
        <v>Small</v>
      </c>
    </row>
    <row r="76" spans="3:13" ht="14.55" customHeight="1">
      <c r="C76" s="12" t="s">
        <v>180</v>
      </c>
      <c r="D76" s="12" t="s">
        <v>181</v>
      </c>
      <c r="E76" s="12" t="s">
        <v>167</v>
      </c>
      <c r="F76" s="23">
        <v>4743350</v>
      </c>
      <c r="G76" s="24">
        <v>477</v>
      </c>
      <c r="H76" s="14" t="str">
        <f t="shared" si="5"/>
        <v>Other</v>
      </c>
    </row>
    <row r="77" spans="3:13" ht="14.55" customHeight="1">
      <c r="C77" s="12" t="s">
        <v>182</v>
      </c>
      <c r="D77" s="12" t="s">
        <v>183</v>
      </c>
      <c r="E77" s="12" t="s">
        <v>143</v>
      </c>
      <c r="F77" s="23">
        <v>2598421</v>
      </c>
      <c r="G77" s="24">
        <v>103</v>
      </c>
      <c r="H77" s="14" t="str">
        <f t="shared" si="5"/>
        <v>Small</v>
      </c>
    </row>
    <row r="78" spans="3:13" ht="14.55" customHeight="1">
      <c r="C78" s="12" t="s">
        <v>184</v>
      </c>
      <c r="D78" s="12" t="s">
        <v>185</v>
      </c>
      <c r="E78" s="12" t="s">
        <v>143</v>
      </c>
      <c r="F78" s="23">
        <v>4266263</v>
      </c>
      <c r="G78" s="24">
        <v>157</v>
      </c>
      <c r="H78" s="14" t="str">
        <f t="shared" si="5"/>
        <v>Small</v>
      </c>
    </row>
    <row r="79" spans="3:13" ht="14.55" customHeight="1">
      <c r="C79" s="12" t="s">
        <v>186</v>
      </c>
      <c r="D79" s="12" t="s">
        <v>187</v>
      </c>
      <c r="E79" s="12" t="s">
        <v>143</v>
      </c>
      <c r="F79" s="23">
        <v>3856618</v>
      </c>
      <c r="G79" s="24">
        <v>353</v>
      </c>
      <c r="H79" s="14" t="str">
        <f t="shared" si="5"/>
        <v>Medium</v>
      </c>
    </row>
    <row r="80" spans="3:13" ht="14.55" customHeight="1">
      <c r="C80" s="12" t="s">
        <v>188</v>
      </c>
      <c r="D80" s="12" t="s">
        <v>189</v>
      </c>
      <c r="E80" s="12" t="s">
        <v>143</v>
      </c>
      <c r="F80" s="23">
        <v>2004109</v>
      </c>
      <c r="G80" s="24">
        <v>406</v>
      </c>
      <c r="H80" s="14" t="str">
        <f t="shared" si="5"/>
        <v>Large</v>
      </c>
    </row>
    <row r="81" spans="1:8" ht="14.55" customHeight="1">
      <c r="C81" s="12" t="s">
        <v>190</v>
      </c>
      <c r="D81" s="12" t="s">
        <v>191</v>
      </c>
      <c r="E81" s="12" t="s">
        <v>139</v>
      </c>
      <c r="F81" s="23">
        <v>4472880</v>
      </c>
      <c r="G81" s="24">
        <v>388</v>
      </c>
      <c r="H81" s="14" t="str">
        <f t="shared" si="5"/>
        <v>Large</v>
      </c>
    </row>
    <row r="82" spans="1:8" ht="14.55" customHeight="1">
      <c r="C82" s="18" t="s">
        <v>192</v>
      </c>
      <c r="D82" s="18" t="s">
        <v>193</v>
      </c>
      <c r="E82" s="18" t="s">
        <v>152</v>
      </c>
      <c r="F82" s="26">
        <v>3162754</v>
      </c>
      <c r="G82" s="27">
        <v>370</v>
      </c>
      <c r="H82" s="14" t="str">
        <f t="shared" si="5"/>
        <v>Large</v>
      </c>
    </row>
    <row r="83" spans="1:8" ht="14.55" customHeight="1"/>
    <row r="84" spans="1:8" ht="14.55" customHeight="1"/>
    <row r="85" spans="1:8" ht="14.55" customHeight="1"/>
    <row r="86" spans="1:8" ht="14.55" customHeight="1">
      <c r="A86" s="28" t="s">
        <v>194</v>
      </c>
    </row>
    <row r="87" spans="1:8" ht="14.55" customHeight="1"/>
    <row r="88" spans="1:8" ht="14.55" customHeight="1"/>
    <row r="89" spans="1:8" ht="14.55" customHeight="1"/>
    <row r="90" spans="1:8" ht="14.55" hidden="1" customHeight="1"/>
    <row r="91" spans="1:8" ht="14.55" hidden="1" customHeight="1"/>
    <row r="92" spans="1:8" ht="14.55" hidden="1" customHeight="1"/>
    <row r="93" spans="1:8" ht="0" hidden="1" customHeight="1"/>
    <row r="94" spans="1:8" ht="0" hidden="1" customHeight="1"/>
    <row r="95" spans="1:8" ht="0" hidden="1" customHeight="1"/>
    <row r="96" spans="1:8" ht="0" hidden="1" customHeight="1"/>
    <row r="97" ht="0" hidden="1" customHeight="1"/>
    <row r="98" ht="0" hidden="1" customHeight="1"/>
    <row r="99" ht="0" hidden="1" customHeight="1"/>
    <row r="100" ht="0" hidden="1" customHeight="1"/>
    <row r="101" ht="0" hidden="1" customHeight="1"/>
    <row r="102" ht="0" hidden="1" customHeight="1"/>
    <row r="103" ht="0" hidden="1" customHeight="1"/>
    <row r="104" ht="0" hidden="1" customHeight="1"/>
    <row r="105" ht="0" hidden="1" customHeight="1"/>
    <row r="106" ht="0" hidden="1" customHeight="1"/>
    <row r="107" ht="0" hidden="1" customHeight="1"/>
    <row r="108" ht="0" hidden="1" customHeight="1"/>
    <row r="109" ht="0" hidden="1" customHeight="1"/>
    <row r="110" ht="0" hidden="1" customHeight="1"/>
    <row r="111" ht="0" hidden="1" customHeight="1"/>
    <row r="112" ht="0" hidden="1" customHeight="1"/>
  </sheetData>
  <conditionalFormatting sqref="H39:H58">
    <cfRule type="containsBlanks" dxfId="3" priority="3">
      <formula>LEN(TRIM(H39))=0</formula>
    </cfRule>
  </conditionalFormatting>
  <conditionalFormatting sqref="H64:H82">
    <cfRule type="containsBlanks" dxfId="2" priority="2">
      <formula>LEN(TRIM(H64))=0</formula>
    </cfRule>
  </conditionalFormatting>
  <conditionalFormatting sqref="H14:J33">
    <cfRule type="containsBlanks" dxfId="1" priority="4">
      <formula>LEN(TRIM(H14))=0</formula>
    </cfRule>
  </conditionalFormatting>
  <conditionalFormatting sqref="K14:K33">
    <cfRule type="containsBlanks" dxfId="0" priority="1">
      <formula>LEN(TRIM(K14))=0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Oladokun</dc:creator>
  <cp:lastModifiedBy>USER</cp:lastModifiedBy>
  <dcterms:created xsi:type="dcterms:W3CDTF">2025-11-03T16:13:57Z</dcterms:created>
  <dcterms:modified xsi:type="dcterms:W3CDTF">2025-11-21T05:48:26Z</dcterms:modified>
</cp:coreProperties>
</file>