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F4A13ED8-13D6-49AE-8EE1-AE33E417CB41}" xr6:coauthVersionLast="36" xr6:coauthVersionMax="36" xr10:uidLastSave="{00000000-0000-0000-0000-000000000000}"/>
  <bookViews>
    <workbookView xWindow="0" yWindow="0" windowWidth="19008" windowHeight="9060" activeTab="1" xr2:uid="{BC570BFF-9CD6-4F87-9E62-370C58776CEE}"/>
  </bookViews>
  <sheets>
    <sheet name="Case 1" sheetId="1" r:id="rId1"/>
    <sheet name="Case 2" sheetId="2" r:id="rId2"/>
  </sheets>
  <definedNames>
    <definedName name="_xlnm._FilterDatabase" localSheetId="0" hidden="1">'Case 1'!$C$6:$H$21</definedName>
    <definedName name="_xlnm._FilterDatabase" localSheetId="1" hidden="1">'Case 2'!$C$6:$E$36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4" i="2" l="1"/>
  <c r="H45" i="2"/>
  <c r="G14" i="2"/>
  <c r="G13" i="2"/>
  <c r="G12" i="2"/>
  <c r="H43" i="2"/>
  <c r="H42" i="2"/>
  <c r="H41" i="2"/>
  <c r="H40" i="2"/>
  <c r="H39" i="2"/>
  <c r="E63" i="1"/>
  <c r="E62" i="1"/>
  <c r="E61" i="1"/>
  <c r="E60" i="1"/>
  <c r="E59" i="1"/>
  <c r="E58" i="1"/>
  <c r="E57" i="1"/>
  <c r="H29" i="1"/>
  <c r="H28" i="1"/>
  <c r="H27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6" i="1"/>
  <c r="H25" i="1"/>
  <c r="H24" i="1"/>
  <c r="H23" i="1"/>
</calcChain>
</file>

<file path=xl/sharedStrings.xml><?xml version="1.0" encoding="utf-8"?>
<sst xmlns="http://schemas.openxmlformats.org/spreadsheetml/2006/main" count="177" uniqueCount="87">
  <si>
    <t>Session 02</t>
  </si>
  <si>
    <t>l</t>
  </si>
  <si>
    <t>Names</t>
  </si>
  <si>
    <t>Mathematics</t>
  </si>
  <si>
    <t>English</t>
  </si>
  <si>
    <t>Chemistry</t>
  </si>
  <si>
    <t>Biology</t>
  </si>
  <si>
    <t>Bethany Hooper</t>
  </si>
  <si>
    <t>Cliff Hansen</t>
  </si>
  <si>
    <t>Beatriz Kelley</t>
  </si>
  <si>
    <t>Claudia Hart</t>
  </si>
  <si>
    <t>Galen Rivas</t>
  </si>
  <si>
    <t>Louis Patton</t>
  </si>
  <si>
    <t>Adam Wiggins</t>
  </si>
  <si>
    <t>Odessa Blake</t>
  </si>
  <si>
    <t>Colton Garcia</t>
  </si>
  <si>
    <t>Lenore Huber</t>
  </si>
  <si>
    <t>Dewayne Chan</t>
  </si>
  <si>
    <t>Rayford Lambert</t>
  </si>
  <si>
    <t>Irving Ramos</t>
  </si>
  <si>
    <t>Darlene Oconnell</t>
  </si>
  <si>
    <t>Earnestine Pineda</t>
  </si>
  <si>
    <t>Calculate the total scores obtained by students in Mathematics</t>
  </si>
  <si>
    <t>Calculate the Maximum score obtained by students in Chemistry</t>
  </si>
  <si>
    <t>What is the Average Score of students in English?</t>
  </si>
  <si>
    <t>What is the Minimum Score obtained by students in Biology?</t>
  </si>
  <si>
    <t>How Many Students are in the Class?</t>
  </si>
  <si>
    <t>What is the fourth highest score in Mathematics?</t>
  </si>
  <si>
    <t>What is the least score in Chemistry?</t>
  </si>
  <si>
    <t>Company</t>
  </si>
  <si>
    <t>Salary</t>
  </si>
  <si>
    <t>Goodluck Jonathan</t>
  </si>
  <si>
    <t>Bayelsa</t>
  </si>
  <si>
    <t>Bukar Ibrahim</t>
  </si>
  <si>
    <t>Yobe</t>
  </si>
  <si>
    <t>Jolly Nyame</t>
  </si>
  <si>
    <t>Taraba</t>
  </si>
  <si>
    <t>Adamu Mu'azu</t>
  </si>
  <si>
    <t>Bauchi</t>
  </si>
  <si>
    <t>Lucky Igbinedion</t>
  </si>
  <si>
    <t>Edo</t>
  </si>
  <si>
    <t>Peter Obi</t>
  </si>
  <si>
    <t>Anambra</t>
  </si>
  <si>
    <t>Gbenga Daniel</t>
  </si>
  <si>
    <t>Ogun</t>
  </si>
  <si>
    <t>Ahmed Makarfi</t>
  </si>
  <si>
    <t>Kaduna</t>
  </si>
  <si>
    <t>Christopher Alao-Akala</t>
  </si>
  <si>
    <t>Oyo</t>
  </si>
  <si>
    <t>Achike Udenwa</t>
  </si>
  <si>
    <t>Imo</t>
  </si>
  <si>
    <t>Bukola Saraki</t>
  </si>
  <si>
    <t>Kwara</t>
  </si>
  <si>
    <t>Ali Modu Sheriff</t>
  </si>
  <si>
    <t>Borno</t>
  </si>
  <si>
    <t>Sam Egwu</t>
  </si>
  <si>
    <t>Ebonyi</t>
  </si>
  <si>
    <t>Olusegun Agagu</t>
  </si>
  <si>
    <t>Ondo</t>
  </si>
  <si>
    <t>George Akume</t>
  </si>
  <si>
    <t>Benue</t>
  </si>
  <si>
    <t>Chimaroke Nnamani</t>
  </si>
  <si>
    <t>Enugu</t>
  </si>
  <si>
    <t>Abdullahi Adamu</t>
  </si>
  <si>
    <t>Nasarawa</t>
  </si>
  <si>
    <t>Attahiru Bafarawa</t>
  </si>
  <si>
    <t>Sokoto</t>
  </si>
  <si>
    <t>Bola Tinubu</t>
  </si>
  <si>
    <t>Lagos</t>
  </si>
  <si>
    <t>Donald Duke</t>
  </si>
  <si>
    <t>Cross River</t>
  </si>
  <si>
    <t>Answer the questions below</t>
  </si>
  <si>
    <t>Calculate the total salary</t>
  </si>
  <si>
    <t>What is the average salary</t>
  </si>
  <si>
    <t>Find the highest salary</t>
  </si>
  <si>
    <t>What is the lowest salary</t>
  </si>
  <si>
    <t>What is the count of the total No of Staff</t>
  </si>
  <si>
    <t>Find the fourth highest salary</t>
  </si>
  <si>
    <t>Find the ninth highest salary</t>
  </si>
  <si>
    <t>End of sheet &gt;&gt;&gt;&gt;&gt;&gt;</t>
  </si>
  <si>
    <t>Class activity - 1</t>
  </si>
  <si>
    <t>Class activity - 2</t>
  </si>
  <si>
    <t>Class activity - 3</t>
  </si>
  <si>
    <t>Subjects</t>
  </si>
  <si>
    <t>Scores</t>
  </si>
  <si>
    <t>French</t>
  </si>
  <si>
    <t>Total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</si>
</sst>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002060"/>
      <name val="Wingdings"/>
      <charset val="2"/>
    </font>
    <font>
      <sz val="11"/>
      <color theme="0"/>
      <name val="Calibri"/>
      <family val="2"/>
    </font>
    <font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/>
    <xf numFmtId="0" fontId="2" fillId="2" borderId="0" xfId="0" applyFont="1" applyFill="1"/>
    <xf numFmtId="0" fontId="0" fillId="0" borderId="1" xfId="0" applyBorder="1"/>
    <xf numFmtId="0" fontId="1" fillId="3" borderId="1" xfId="0" applyFont="1" applyFill="1" applyBorder="1"/>
    <xf numFmtId="0" fontId="0" fillId="3" borderId="1" xfId="0" applyFill="1" applyBorder="1"/>
    <xf numFmtId="0" fontId="5" fillId="2" borderId="2" xfId="0" applyFont="1" applyFill="1" applyBorder="1"/>
    <xf numFmtId="0" fontId="6" fillId="0" borderId="2" xfId="0" applyFont="1" applyBorder="1"/>
    <xf numFmtId="0" fontId="0" fillId="0" borderId="0" xfId="0" quotePrefix="1"/>
    <xf numFmtId="0" fontId="6" fillId="0" borderId="0" xfId="0" applyFont="1"/>
    <xf numFmtId="0" fontId="4" fillId="0" borderId="0" xfId="0" applyFont="1" applyAlignment="1">
      <alignment horizontal="right"/>
    </xf>
    <xf numFmtId="2" fontId="6" fillId="0" borderId="0" xfId="0" applyNumberFormat="1" applyFont="1"/>
    <xf numFmtId="0" fontId="7" fillId="0" borderId="0" xfId="0" applyFont="1"/>
    <xf numFmtId="0" fontId="2" fillId="2" borderId="2" xfId="0" applyFont="1" applyFill="1" applyBorder="1"/>
    <xf numFmtId="0" fontId="0" fillId="0" borderId="2" xfId="0" applyBorder="1"/>
    <xf numFmtId="3" fontId="0" fillId="0" borderId="2" xfId="0" applyNumberFormat="1" applyBorder="1"/>
    <xf numFmtId="0" fontId="1" fillId="0" borderId="0" xfId="0" applyFont="1"/>
    <xf numFmtId="0" fontId="8" fillId="0" borderId="0" xfId="0" applyFont="1"/>
    <xf numFmtId="0" fontId="5" fillId="2" borderId="2" xfId="0" applyFont="1" applyFill="1" applyBorder="1" applyAlignment="1">
      <alignment horizontal="right"/>
    </xf>
    <xf numFmtId="2" fontId="6" fillId="0" borderId="2" xfId="0" applyNumberFormat="1" applyFont="1" applyBorder="1"/>
    <xf numFmtId="0" fontId="0" fillId="0" borderId="2" xfId="0" applyFont="1" applyBorder="1"/>
    <xf numFmtId="3" fontId="6" fillId="0" borderId="0" xfId="0" applyNumberFormat="1" applyFont="1"/>
  </cellXfs>
  <cellStyles count="1">
    <cellStyle name="Normal" xfId="0" builtinId="0"/>
  </cellStyles>
  <dxfs count="4">
    <dxf>
      <fill>
        <patternFill>
          <bgColor theme="3" tint="0.8999603259376811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3" tint="0.8999603259376811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3" tint="0.8999603259376811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3" tint="0.8999603259376811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F9732-A03B-45E2-8B38-B5CF3E118FBC}">
  <dimension ref="A1:M76"/>
  <sheetViews>
    <sheetView showGridLines="0" zoomScale="79" workbookViewId="0">
      <pane ySplit="2" topLeftCell="A53" activePane="bottomLeft" state="frozen"/>
      <selection pane="bottomLeft" activeCell="E64" sqref="E64"/>
    </sheetView>
  </sheetViews>
  <sheetFormatPr defaultColWidth="0" defaultRowHeight="14.55" customHeight="1" zeroHeight="1"/>
  <cols>
    <col min="1" max="1" width="4" customWidth="1"/>
    <col min="2" max="2" width="5.296875" customWidth="1"/>
    <col min="3" max="3" width="19.69921875" customWidth="1"/>
    <col min="4" max="4" width="17.09765625" customWidth="1"/>
    <col min="5" max="5" width="13.09765625" customWidth="1"/>
    <col min="6" max="6" width="10.3984375" bestFit="1" customWidth="1"/>
    <col min="7" max="7" width="19" customWidth="1"/>
    <col min="8" max="8" width="17.8984375" customWidth="1"/>
    <col min="9" max="13" width="8.69921875" customWidth="1"/>
    <col min="14" max="16384" width="8.69921875" hidden="1"/>
  </cols>
  <sheetData>
    <row r="1" spans="1:13" ht="13.8"/>
    <row r="2" spans="1:13" s="2" customFormat="1" ht="15.6">
      <c r="A2" s="1" t="s">
        <v>0</v>
      </c>
    </row>
    <row r="3" spans="1:13" ht="13.8"/>
    <row r="4" spans="1:13" s="3" customFormat="1" ht="14.4" thickBot="1">
      <c r="A4"/>
      <c r="B4" s="4" t="s">
        <v>80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13.8"/>
    <row r="6" spans="1:13" ht="14.4">
      <c r="C6" s="6" t="s">
        <v>2</v>
      </c>
      <c r="D6" s="18" t="s">
        <v>3</v>
      </c>
      <c r="E6" s="18" t="s">
        <v>4</v>
      </c>
      <c r="F6" s="18" t="s">
        <v>5</v>
      </c>
      <c r="G6" s="18" t="s">
        <v>6</v>
      </c>
      <c r="H6" s="6" t="s">
        <v>86</v>
      </c>
    </row>
    <row r="7" spans="1:13" ht="14.4">
      <c r="C7" s="7" t="s">
        <v>7</v>
      </c>
      <c r="D7" s="7">
        <v>98</v>
      </c>
      <c r="E7" s="7">
        <v>96</v>
      </c>
      <c r="F7" s="7">
        <v>69</v>
      </c>
      <c r="G7" s="7">
        <v>79</v>
      </c>
      <c r="H7" s="7">
        <f>SUM(D7:G7)</f>
        <v>342</v>
      </c>
    </row>
    <row r="8" spans="1:13" ht="14.4">
      <c r="C8" s="7" t="s">
        <v>8</v>
      </c>
      <c r="D8" s="7">
        <v>92</v>
      </c>
      <c r="E8" s="7">
        <v>69</v>
      </c>
      <c r="F8" s="7">
        <v>91</v>
      </c>
      <c r="G8" s="7">
        <v>91</v>
      </c>
      <c r="H8" s="7">
        <f>SUM(D8:G8)</f>
        <v>343</v>
      </c>
      <c r="K8" s="8"/>
    </row>
    <row r="9" spans="1:13" ht="14.4">
      <c r="C9" s="7" t="s">
        <v>9</v>
      </c>
      <c r="D9" s="7">
        <v>85</v>
      </c>
      <c r="E9" s="7">
        <v>80</v>
      </c>
      <c r="F9" s="7">
        <v>92</v>
      </c>
      <c r="G9" s="7">
        <v>55</v>
      </c>
      <c r="H9" s="7">
        <f>SUM(D9:G9)</f>
        <v>312</v>
      </c>
    </row>
    <row r="10" spans="1:13" ht="14.4">
      <c r="C10" s="7" t="s">
        <v>10</v>
      </c>
      <c r="D10" s="7">
        <v>84</v>
      </c>
      <c r="E10" s="7">
        <v>44</v>
      </c>
      <c r="F10" s="7">
        <v>76</v>
      </c>
      <c r="G10" s="7">
        <v>98</v>
      </c>
      <c r="H10" s="7">
        <f>SUM(D10:G10)</f>
        <v>302</v>
      </c>
      <c r="K10" s="8"/>
    </row>
    <row r="11" spans="1:13" ht="14.4">
      <c r="C11" s="7" t="s">
        <v>11</v>
      </c>
      <c r="D11" s="7">
        <v>82</v>
      </c>
      <c r="E11" s="7">
        <v>56</v>
      </c>
      <c r="F11" s="7">
        <v>42</v>
      </c>
      <c r="G11" s="7">
        <v>85</v>
      </c>
      <c r="H11" s="7">
        <f>SUM(D11:G11)</f>
        <v>265</v>
      </c>
      <c r="K11" s="8"/>
    </row>
    <row r="12" spans="1:13" ht="14.4">
      <c r="C12" s="7" t="s">
        <v>12</v>
      </c>
      <c r="D12" s="7">
        <v>81</v>
      </c>
      <c r="E12" s="7">
        <v>66</v>
      </c>
      <c r="F12" s="7">
        <v>40</v>
      </c>
      <c r="G12" s="7">
        <v>56</v>
      </c>
      <c r="H12" s="7">
        <f>SUM(D12:G12)</f>
        <v>243</v>
      </c>
      <c r="K12" s="8"/>
    </row>
    <row r="13" spans="1:13" ht="14.4">
      <c r="C13" s="7" t="s">
        <v>13</v>
      </c>
      <c r="D13" s="7">
        <v>77</v>
      </c>
      <c r="E13" s="7">
        <v>40</v>
      </c>
      <c r="F13" s="7">
        <v>90</v>
      </c>
      <c r="G13" s="7">
        <v>78</v>
      </c>
      <c r="H13" s="7">
        <f>SUM(D13:G13)</f>
        <v>285</v>
      </c>
    </row>
    <row r="14" spans="1:13" ht="14.4">
      <c r="C14" s="7" t="s">
        <v>14</v>
      </c>
      <c r="D14" s="7">
        <v>73</v>
      </c>
      <c r="E14" s="7">
        <v>88</v>
      </c>
      <c r="F14" s="7">
        <v>58</v>
      </c>
      <c r="G14" s="7">
        <v>49</v>
      </c>
      <c r="H14" s="7">
        <f>SUM(D14:G14)</f>
        <v>268</v>
      </c>
    </row>
    <row r="15" spans="1:13" ht="14.4">
      <c r="C15" s="7" t="s">
        <v>15</v>
      </c>
      <c r="D15" s="7">
        <v>70</v>
      </c>
      <c r="E15" s="7">
        <v>86</v>
      </c>
      <c r="F15" s="7">
        <v>72</v>
      </c>
      <c r="G15" s="7">
        <v>54</v>
      </c>
      <c r="H15" s="7">
        <f>SUM(D15:G15)</f>
        <v>282</v>
      </c>
    </row>
    <row r="16" spans="1:13" ht="14.4">
      <c r="C16" s="7" t="s">
        <v>16</v>
      </c>
      <c r="D16" s="7">
        <v>66</v>
      </c>
      <c r="E16" s="7">
        <v>50</v>
      </c>
      <c r="F16" s="7">
        <v>96</v>
      </c>
      <c r="G16" s="7">
        <v>100</v>
      </c>
      <c r="H16" s="7">
        <f>SUM(D16:G16)</f>
        <v>312</v>
      </c>
    </row>
    <row r="17" spans="1:10" ht="14.4">
      <c r="C17" s="7" t="s">
        <v>17</v>
      </c>
      <c r="D17" s="7">
        <v>63</v>
      </c>
      <c r="E17" s="7">
        <v>75</v>
      </c>
      <c r="F17" s="7">
        <v>71</v>
      </c>
      <c r="G17" s="7">
        <v>97</v>
      </c>
      <c r="H17" s="7">
        <f>SUM(D17:G17)</f>
        <v>306</v>
      </c>
    </row>
    <row r="18" spans="1:10" ht="14.4">
      <c r="C18" s="7" t="s">
        <v>18</v>
      </c>
      <c r="D18" s="7">
        <v>62</v>
      </c>
      <c r="E18" s="7">
        <v>85</v>
      </c>
      <c r="F18" s="7">
        <v>53</v>
      </c>
      <c r="G18" s="7">
        <v>80</v>
      </c>
      <c r="H18" s="7">
        <f>SUM(D18:G18)</f>
        <v>280</v>
      </c>
    </row>
    <row r="19" spans="1:10" ht="14.4">
      <c r="C19" s="7" t="s">
        <v>19</v>
      </c>
      <c r="D19" s="7">
        <v>60</v>
      </c>
      <c r="E19" s="7">
        <v>68</v>
      </c>
      <c r="F19" s="7">
        <v>82</v>
      </c>
      <c r="G19" s="7">
        <v>50</v>
      </c>
      <c r="H19" s="7">
        <f>SUM(D19:G19)</f>
        <v>260</v>
      </c>
    </row>
    <row r="20" spans="1:10" ht="14.4">
      <c r="C20" s="7" t="s">
        <v>20</v>
      </c>
      <c r="D20" s="7">
        <v>57</v>
      </c>
      <c r="E20" s="7">
        <v>54</v>
      </c>
      <c r="F20" s="7">
        <v>55</v>
      </c>
      <c r="G20" s="7">
        <v>44</v>
      </c>
      <c r="H20" s="7">
        <f>SUM(D20:G20)</f>
        <v>210</v>
      </c>
    </row>
    <row r="21" spans="1:10" ht="14.4">
      <c r="C21" s="7" t="s">
        <v>21</v>
      </c>
      <c r="D21" s="7">
        <v>47</v>
      </c>
      <c r="E21" s="7">
        <v>89</v>
      </c>
      <c r="F21" s="7">
        <v>62</v>
      </c>
      <c r="G21" s="7">
        <v>89</v>
      </c>
      <c r="H21" s="7">
        <f>SUM(D21:G21)</f>
        <v>287</v>
      </c>
    </row>
    <row r="22" spans="1:10" ht="14.4">
      <c r="C22" s="9"/>
      <c r="D22" s="9"/>
      <c r="E22" s="9"/>
      <c r="F22" s="9"/>
      <c r="G22" s="9"/>
      <c r="H22" s="9"/>
    </row>
    <row r="23" spans="1:10" ht="14.4">
      <c r="B23" s="10" t="s">
        <v>1</v>
      </c>
      <c r="C23" s="9" t="s">
        <v>22</v>
      </c>
      <c r="D23" s="9"/>
      <c r="E23" s="9"/>
      <c r="F23" s="9"/>
      <c r="G23" s="9"/>
      <c r="H23" s="7">
        <f>SUM(D7:D21)</f>
        <v>1097</v>
      </c>
    </row>
    <row r="24" spans="1:10" ht="14.4">
      <c r="B24" s="10" t="s">
        <v>1</v>
      </c>
      <c r="C24" s="9" t="s">
        <v>23</v>
      </c>
      <c r="D24" s="9"/>
      <c r="E24" s="9"/>
      <c r="F24" s="9"/>
      <c r="G24" s="9"/>
      <c r="H24" s="7">
        <f>MAX(F7:F21)</f>
        <v>96</v>
      </c>
    </row>
    <row r="25" spans="1:10" ht="14.4">
      <c r="B25" s="10" t="s">
        <v>1</v>
      </c>
      <c r="C25" s="9" t="s">
        <v>24</v>
      </c>
      <c r="D25" s="9"/>
      <c r="E25" s="9"/>
      <c r="F25" s="9"/>
      <c r="G25" s="9"/>
      <c r="H25" s="19">
        <f>AVERAGE(E7:E21)</f>
        <v>69.733333333333334</v>
      </c>
    </row>
    <row r="26" spans="1:10" ht="14.4">
      <c r="B26" s="10" t="s">
        <v>1</v>
      </c>
      <c r="C26" s="9" t="s">
        <v>25</v>
      </c>
      <c r="D26" s="9"/>
      <c r="E26" s="9"/>
      <c r="F26" s="9"/>
      <c r="G26" s="9"/>
      <c r="H26" s="7">
        <f>MIN(G7:G21)</f>
        <v>44</v>
      </c>
    </row>
    <row r="27" spans="1:10" ht="14.4">
      <c r="B27" s="10" t="s">
        <v>1</v>
      </c>
      <c r="C27" s="9" t="s">
        <v>26</v>
      </c>
      <c r="D27" s="9"/>
      <c r="E27" s="9"/>
      <c r="F27" s="9"/>
      <c r="G27" s="9"/>
      <c r="H27" s="20">
        <f>COUNTA(C7:C21)</f>
        <v>15</v>
      </c>
    </row>
    <row r="28" spans="1:10" ht="14.4">
      <c r="B28" s="10" t="s">
        <v>1</v>
      </c>
      <c r="C28" s="9" t="s">
        <v>27</v>
      </c>
      <c r="D28" s="9"/>
      <c r="E28" s="9"/>
      <c r="F28" s="9"/>
      <c r="G28" s="9"/>
      <c r="H28" s="7">
        <f>LARGE(D7:D21,4)</f>
        <v>84</v>
      </c>
    </row>
    <row r="29" spans="1:10" ht="14.4">
      <c r="B29" s="10" t="s">
        <v>1</v>
      </c>
      <c r="C29" s="9" t="s">
        <v>28</v>
      </c>
      <c r="D29" s="9"/>
      <c r="E29" s="9"/>
      <c r="F29" s="9"/>
      <c r="G29" s="9"/>
      <c r="H29" s="7">
        <f>SMALL(F7:F21,2)</f>
        <v>42</v>
      </c>
      <c r="J29" s="9"/>
    </row>
    <row r="30" spans="1:10" s="12" customFormat="1" ht="14.4">
      <c r="G30" s="9"/>
    </row>
    <row r="31" spans="1:10" s="5" customFormat="1" ht="14.4" thickBot="1">
      <c r="A31"/>
      <c r="B31" s="4" t="s">
        <v>81</v>
      </c>
    </row>
    <row r="32" spans="1:10" ht="13.8"/>
    <row r="33" spans="3:5" ht="13.8">
      <c r="C33" s="13" t="s">
        <v>2</v>
      </c>
      <c r="D33" s="13" t="s">
        <v>29</v>
      </c>
      <c r="E33" s="13" t="s">
        <v>30</v>
      </c>
    </row>
    <row r="34" spans="3:5" ht="13.8">
      <c r="C34" s="14" t="s">
        <v>31</v>
      </c>
      <c r="D34" s="14" t="s">
        <v>32</v>
      </c>
      <c r="E34" s="15">
        <v>4974390</v>
      </c>
    </row>
    <row r="35" spans="3:5" ht="13.8">
      <c r="C35" s="14" t="s">
        <v>33</v>
      </c>
      <c r="D35" s="14" t="s">
        <v>34</v>
      </c>
      <c r="E35" s="15">
        <v>4972165</v>
      </c>
    </row>
    <row r="36" spans="3:5" ht="13.8">
      <c r="C36" s="14" t="s">
        <v>35</v>
      </c>
      <c r="D36" s="14" t="s">
        <v>36</v>
      </c>
      <c r="E36" s="15">
        <v>4948277</v>
      </c>
    </row>
    <row r="37" spans="3:5" ht="13.8">
      <c r="C37" s="14" t="s">
        <v>37</v>
      </c>
      <c r="D37" s="14" t="s">
        <v>38</v>
      </c>
      <c r="E37" s="15">
        <v>4740966</v>
      </c>
    </row>
    <row r="38" spans="3:5" ht="13.8">
      <c r="C38" s="14" t="s">
        <v>39</v>
      </c>
      <c r="D38" s="14" t="s">
        <v>40</v>
      </c>
      <c r="E38" s="15">
        <v>4286346</v>
      </c>
    </row>
    <row r="39" spans="3:5" ht="13.8">
      <c r="C39" s="14" t="s">
        <v>41</v>
      </c>
      <c r="D39" s="14" t="s">
        <v>42</v>
      </c>
      <c r="E39" s="15">
        <v>4068987</v>
      </c>
    </row>
    <row r="40" spans="3:5" ht="13.8">
      <c r="C40" s="14" t="s">
        <v>43</v>
      </c>
      <c r="D40" s="14" t="s">
        <v>44</v>
      </c>
      <c r="E40" s="15">
        <v>3896653</v>
      </c>
    </row>
    <row r="41" spans="3:5" ht="13.8">
      <c r="C41" s="14" t="s">
        <v>45</v>
      </c>
      <c r="D41" s="14" t="s">
        <v>46</v>
      </c>
      <c r="E41" s="15">
        <v>3426608</v>
      </c>
    </row>
    <row r="42" spans="3:5" ht="13.8">
      <c r="C42" s="14" t="s">
        <v>47</v>
      </c>
      <c r="D42" s="14" t="s">
        <v>48</v>
      </c>
      <c r="E42" s="15">
        <v>3028264</v>
      </c>
    </row>
    <row r="43" spans="3:5" ht="13.8">
      <c r="C43" s="14" t="s">
        <v>49</v>
      </c>
      <c r="D43" s="14" t="s">
        <v>50</v>
      </c>
      <c r="E43" s="15">
        <v>2318996</v>
      </c>
    </row>
    <row r="44" spans="3:5" ht="13.8">
      <c r="C44" s="14" t="s">
        <v>51</v>
      </c>
      <c r="D44" s="14" t="s">
        <v>52</v>
      </c>
      <c r="E44" s="15">
        <v>2312631</v>
      </c>
    </row>
    <row r="45" spans="3:5" ht="13.8">
      <c r="C45" s="14" t="s">
        <v>53</v>
      </c>
      <c r="D45" s="14" t="s">
        <v>54</v>
      </c>
      <c r="E45" s="15">
        <v>2121528</v>
      </c>
    </row>
    <row r="46" spans="3:5" ht="13.8">
      <c r="C46" s="14" t="s">
        <v>55</v>
      </c>
      <c r="D46" s="14" t="s">
        <v>56</v>
      </c>
      <c r="E46" s="15">
        <v>1643270</v>
      </c>
    </row>
    <row r="47" spans="3:5" ht="13.8">
      <c r="C47" s="14" t="s">
        <v>57</v>
      </c>
      <c r="D47" s="14" t="s">
        <v>58</v>
      </c>
      <c r="E47" s="15">
        <v>1562243</v>
      </c>
    </row>
    <row r="48" spans="3:5" ht="13.8">
      <c r="C48" s="14" t="s">
        <v>59</v>
      </c>
      <c r="D48" s="14" t="s">
        <v>60</v>
      </c>
      <c r="E48" s="15">
        <v>1407751</v>
      </c>
    </row>
    <row r="49" spans="2:7" ht="13.8">
      <c r="C49" s="14" t="s">
        <v>61</v>
      </c>
      <c r="D49" s="14" t="s">
        <v>62</v>
      </c>
      <c r="E49" s="15">
        <v>1375956</v>
      </c>
    </row>
    <row r="50" spans="2:7" ht="13.8">
      <c r="C50" s="14" t="s">
        <v>63</v>
      </c>
      <c r="D50" s="14" t="s">
        <v>64</v>
      </c>
      <c r="E50" s="15">
        <v>1364301</v>
      </c>
    </row>
    <row r="51" spans="2:7" ht="13.8">
      <c r="C51" s="14" t="s">
        <v>65</v>
      </c>
      <c r="D51" s="14" t="s">
        <v>66</v>
      </c>
      <c r="E51" s="15">
        <v>1358916</v>
      </c>
    </row>
    <row r="52" spans="2:7" ht="13.8">
      <c r="C52" s="14" t="s">
        <v>67</v>
      </c>
      <c r="D52" s="14" t="s">
        <v>68</v>
      </c>
      <c r="E52" s="15">
        <v>1226444</v>
      </c>
    </row>
    <row r="53" spans="2:7" ht="13.8">
      <c r="C53" s="14" t="s">
        <v>69</v>
      </c>
      <c r="D53" s="14" t="s">
        <v>70</v>
      </c>
      <c r="E53" s="15">
        <v>1130642</v>
      </c>
    </row>
    <row r="54" spans="2:7" ht="13.8"/>
    <row r="55" spans="2:7" ht="13.8"/>
    <row r="56" spans="2:7" ht="13.8">
      <c r="B56" s="16" t="s">
        <v>71</v>
      </c>
    </row>
    <row r="57" spans="2:7" ht="14.4">
      <c r="B57" s="10" t="s">
        <v>1</v>
      </c>
      <c r="C57" s="9" t="s">
        <v>72</v>
      </c>
      <c r="D57" s="9"/>
      <c r="E57" s="21">
        <f>SUM(E34:E53)</f>
        <v>56165334</v>
      </c>
      <c r="F57" s="9"/>
      <c r="G57" s="9"/>
    </row>
    <row r="58" spans="2:7" ht="14.4">
      <c r="B58" s="10" t="s">
        <v>1</v>
      </c>
      <c r="C58" t="s">
        <v>73</v>
      </c>
      <c r="E58" s="21">
        <f>AVERAGE(E34:E53)</f>
        <v>2808266.7</v>
      </c>
    </row>
    <row r="59" spans="2:7" ht="14.4">
      <c r="B59" s="10" t="s">
        <v>1</v>
      </c>
      <c r="C59" t="s">
        <v>74</v>
      </c>
      <c r="E59" s="21">
        <f>MAX(E34:E53)</f>
        <v>4974390</v>
      </c>
    </row>
    <row r="60" spans="2:7" ht="14.4">
      <c r="B60" s="10" t="s">
        <v>1</v>
      </c>
      <c r="C60" t="s">
        <v>75</v>
      </c>
      <c r="E60" s="21">
        <f>MIN(E34:E53)</f>
        <v>1130642</v>
      </c>
    </row>
    <row r="61" spans="2:7" ht="14.4">
      <c r="B61" s="10" t="s">
        <v>1</v>
      </c>
      <c r="C61" t="s">
        <v>76</v>
      </c>
      <c r="E61" s="9">
        <f>COUNTA(C34:C53)</f>
        <v>20</v>
      </c>
    </row>
    <row r="62" spans="2:7" ht="14.4">
      <c r="B62" s="10" t="s">
        <v>1</v>
      </c>
      <c r="C62" t="s">
        <v>77</v>
      </c>
      <c r="E62" s="9">
        <f>LARGE(E34:E53,4)</f>
        <v>4740966</v>
      </c>
    </row>
    <row r="63" spans="2:7" ht="14.4">
      <c r="B63" s="10" t="s">
        <v>1</v>
      </c>
      <c r="C63" t="s">
        <v>78</v>
      </c>
      <c r="E63" s="9">
        <f>LARGE(E34:E53,9)</f>
        <v>3028264</v>
      </c>
    </row>
    <row r="64" spans="2:7" ht="13.8"/>
    <row r="65" spans="1:1" ht="13.8">
      <c r="A65" s="17" t="s">
        <v>79</v>
      </c>
    </row>
    <row r="66" spans="1:1" ht="13.8"/>
    <row r="67" spans="1:1" ht="14.55" customHeight="1"/>
    <row r="68" spans="1:1" ht="14.55" customHeight="1"/>
    <row r="69" spans="1:1" ht="14.55" customHeight="1"/>
    <row r="70" spans="1:1" ht="14.55" customHeight="1"/>
    <row r="71" spans="1:1" ht="14.55" customHeight="1"/>
    <row r="72" spans="1:1" ht="14.55" customHeight="1"/>
    <row r="73" spans="1:1" ht="14.55" customHeight="1"/>
    <row r="74" spans="1:1" ht="14.55" customHeight="1"/>
    <row r="75" spans="1:1" ht="14.55" customHeight="1"/>
    <row r="76" spans="1:1" ht="14.55" customHeight="1"/>
  </sheetData>
  <conditionalFormatting sqref="E57:E63">
    <cfRule type="containsBlanks" dxfId="3" priority="1">
      <formula>LEN(TRIM(E57))=0</formula>
    </cfRule>
  </conditionalFormatting>
  <conditionalFormatting sqref="H7:H21">
    <cfRule type="containsBlanks" dxfId="0" priority="2">
      <formula>LEN(TRIM(H7))=0</formula>
    </cfRule>
  </conditionalFormatting>
  <conditionalFormatting sqref="H23:H29">
    <cfRule type="containsBlanks" dxfId="2" priority="3">
      <formula>LEN(TRIM(H23))=0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7DA08-7165-4BEB-A7FB-05D9C0FF48A0}">
  <sheetPr filterMode="1"/>
  <dimension ref="A1:M76"/>
  <sheetViews>
    <sheetView showGridLines="0" tabSelected="1" zoomScale="79" workbookViewId="0">
      <pane ySplit="2" topLeftCell="A3" activePane="bottomLeft" state="frozen"/>
      <selection pane="bottomLeft" activeCell="H45" sqref="H45"/>
    </sheetView>
  </sheetViews>
  <sheetFormatPr defaultColWidth="0" defaultRowHeight="14.55" customHeight="1" zeroHeight="1"/>
  <cols>
    <col min="1" max="1" width="4" customWidth="1"/>
    <col min="2" max="2" width="5.296875" customWidth="1"/>
    <col min="3" max="3" width="19.69921875" customWidth="1"/>
    <col min="4" max="4" width="17.09765625" customWidth="1"/>
    <col min="5" max="5" width="14.3984375" customWidth="1"/>
    <col min="6" max="6" width="10.3984375" bestFit="1" customWidth="1"/>
    <col min="7" max="7" width="19" customWidth="1"/>
    <col min="8" max="8" width="17.8984375" customWidth="1"/>
    <col min="9" max="13" width="8.69921875" customWidth="1"/>
    <col min="14" max="16384" width="8.69921875" hidden="1"/>
  </cols>
  <sheetData>
    <row r="1" spans="1:13" ht="13.8"/>
    <row r="2" spans="1:13" s="2" customFormat="1" ht="15.6">
      <c r="A2" s="1" t="s">
        <v>0</v>
      </c>
    </row>
    <row r="3" spans="1:13" ht="13.8"/>
    <row r="4" spans="1:13" s="3" customFormat="1" ht="14.4" thickBot="1">
      <c r="A4"/>
      <c r="B4" s="4" t="s">
        <v>82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13.8"/>
    <row r="6" spans="1:13" ht="14.4">
      <c r="C6" s="6" t="s">
        <v>2</v>
      </c>
      <c r="D6" s="18" t="s">
        <v>83</v>
      </c>
      <c r="E6" s="18" t="s">
        <v>84</v>
      </c>
    </row>
    <row r="7" spans="1:13" ht="14.4" hidden="1">
      <c r="C7" s="7" t="s">
        <v>10</v>
      </c>
      <c r="D7" s="7" t="s">
        <v>85</v>
      </c>
      <c r="E7" s="7">
        <v>98</v>
      </c>
    </row>
    <row r="8" spans="1:13" ht="14.4">
      <c r="C8" s="7" t="s">
        <v>13</v>
      </c>
      <c r="D8" s="7" t="s">
        <v>3</v>
      </c>
      <c r="E8" s="7">
        <v>92</v>
      </c>
      <c r="K8" s="8"/>
    </row>
    <row r="9" spans="1:13" ht="14.4" hidden="1">
      <c r="C9" s="7" t="s">
        <v>7</v>
      </c>
      <c r="D9" s="7" t="s">
        <v>5</v>
      </c>
      <c r="E9" s="7">
        <v>85</v>
      </c>
      <c r="K9" s="8"/>
    </row>
    <row r="10" spans="1:13" ht="14.4" hidden="1">
      <c r="C10" s="7" t="s">
        <v>12</v>
      </c>
      <c r="D10" s="7" t="s">
        <v>6</v>
      </c>
      <c r="E10" s="7">
        <v>84</v>
      </c>
      <c r="K10" s="8"/>
    </row>
    <row r="11" spans="1:13" ht="14.4" hidden="1">
      <c r="C11" s="7" t="s">
        <v>13</v>
      </c>
      <c r="D11" s="7" t="s">
        <v>6</v>
      </c>
      <c r="E11" s="7">
        <v>82</v>
      </c>
      <c r="K11" s="8"/>
    </row>
    <row r="12" spans="1:13" ht="14.4" hidden="1">
      <c r="C12" s="7" t="s">
        <v>9</v>
      </c>
      <c r="D12" s="7" t="s">
        <v>85</v>
      </c>
      <c r="E12" s="7">
        <v>81</v>
      </c>
      <c r="G12">
        <f>COUNTIFS(E7:E36,"&gt;50")</f>
        <v>26</v>
      </c>
      <c r="K12" s="8"/>
    </row>
    <row r="13" spans="1:13" ht="14.4" hidden="1">
      <c r="C13" s="7" t="s">
        <v>10</v>
      </c>
      <c r="D13" s="7" t="s">
        <v>5</v>
      </c>
      <c r="E13" s="7">
        <v>77</v>
      </c>
      <c r="G13">
        <f>SUMIF(E7:E36,"&gt;70")</f>
        <v>1271</v>
      </c>
      <c r="K13" s="8"/>
    </row>
    <row r="14" spans="1:13" ht="14.4" hidden="1">
      <c r="C14" s="7" t="s">
        <v>10</v>
      </c>
      <c r="D14" s="7" t="s">
        <v>4</v>
      </c>
      <c r="E14" s="7">
        <v>73</v>
      </c>
      <c r="G14">
        <f>_xlfn.MINIFS(E7:E36,C7:C36,C24,D7:D36,D14)</f>
        <v>40</v>
      </c>
      <c r="K14" s="8"/>
    </row>
    <row r="15" spans="1:13" ht="14.4" hidden="1">
      <c r="C15" s="7" t="s">
        <v>10</v>
      </c>
      <c r="D15" s="7" t="s">
        <v>6</v>
      </c>
      <c r="E15" s="7">
        <v>70</v>
      </c>
      <c r="K15" s="8"/>
    </row>
    <row r="16" spans="1:13" ht="14.4" hidden="1">
      <c r="C16" s="7" t="s">
        <v>7</v>
      </c>
      <c r="D16" s="7" t="s">
        <v>6</v>
      </c>
      <c r="E16" s="7">
        <v>66</v>
      </c>
      <c r="K16" s="8"/>
    </row>
    <row r="17" spans="3:11" ht="14.4" hidden="1">
      <c r="C17" s="7" t="s">
        <v>9</v>
      </c>
      <c r="D17" s="7" t="s">
        <v>85</v>
      </c>
      <c r="E17" s="7">
        <v>63</v>
      </c>
      <c r="K17" s="8"/>
    </row>
    <row r="18" spans="3:11" ht="14.4" hidden="1">
      <c r="C18" s="7" t="s">
        <v>10</v>
      </c>
      <c r="D18" s="7" t="s">
        <v>5</v>
      </c>
      <c r="E18" s="7">
        <v>62</v>
      </c>
      <c r="K18" s="8"/>
    </row>
    <row r="19" spans="3:11" ht="14.4">
      <c r="C19" s="7" t="s">
        <v>8</v>
      </c>
      <c r="D19" s="7" t="s">
        <v>3</v>
      </c>
      <c r="E19" s="7">
        <v>60</v>
      </c>
      <c r="K19" s="8"/>
    </row>
    <row r="20" spans="3:11" ht="14.4">
      <c r="C20" s="7" t="s">
        <v>13</v>
      </c>
      <c r="D20" s="7" t="s">
        <v>3</v>
      </c>
      <c r="E20" s="7">
        <v>57</v>
      </c>
      <c r="K20" s="8"/>
    </row>
    <row r="21" spans="3:11" ht="14.4" hidden="1">
      <c r="C21" s="7" t="s">
        <v>11</v>
      </c>
      <c r="D21" s="7" t="s">
        <v>4</v>
      </c>
      <c r="E21" s="7">
        <v>47</v>
      </c>
      <c r="K21" s="8"/>
    </row>
    <row r="22" spans="3:11" ht="14.4" hidden="1">
      <c r="C22" s="7" t="s">
        <v>11</v>
      </c>
      <c r="D22" s="7" t="s">
        <v>4</v>
      </c>
      <c r="E22" s="7">
        <v>96</v>
      </c>
      <c r="F22" s="9"/>
      <c r="G22" s="9"/>
      <c r="K22" s="8"/>
    </row>
    <row r="23" spans="3:11" ht="14.4">
      <c r="C23" s="7" t="s">
        <v>9</v>
      </c>
      <c r="D23" s="7" t="s">
        <v>3</v>
      </c>
      <c r="E23" s="7">
        <v>69</v>
      </c>
      <c r="K23" s="8"/>
    </row>
    <row r="24" spans="3:11" ht="14.4" hidden="1">
      <c r="C24" s="7" t="s">
        <v>11</v>
      </c>
      <c r="D24" s="7" t="s">
        <v>6</v>
      </c>
      <c r="E24" s="7">
        <v>80</v>
      </c>
      <c r="K24" s="8"/>
    </row>
    <row r="25" spans="3:11" ht="14.4" hidden="1">
      <c r="C25" s="7" t="s">
        <v>13</v>
      </c>
      <c r="D25" s="7" t="s">
        <v>85</v>
      </c>
      <c r="E25" s="7">
        <v>44</v>
      </c>
      <c r="K25" s="8"/>
    </row>
    <row r="26" spans="3:11" ht="14.4" hidden="1">
      <c r="C26" s="7" t="s">
        <v>13</v>
      </c>
      <c r="D26" s="7" t="s">
        <v>85</v>
      </c>
      <c r="E26" s="7">
        <v>56</v>
      </c>
      <c r="K26" s="8"/>
    </row>
    <row r="27" spans="3:11" ht="14.4" hidden="1">
      <c r="C27" s="7" t="s">
        <v>7</v>
      </c>
      <c r="D27" s="7" t="s">
        <v>5</v>
      </c>
      <c r="E27" s="7">
        <v>66</v>
      </c>
      <c r="K27" s="8"/>
    </row>
    <row r="28" spans="3:11" ht="14.4" hidden="1">
      <c r="C28" s="7" t="s">
        <v>11</v>
      </c>
      <c r="D28" s="7" t="s">
        <v>4</v>
      </c>
      <c r="E28" s="7">
        <v>40</v>
      </c>
      <c r="K28" s="8"/>
    </row>
    <row r="29" spans="3:11" ht="14.4">
      <c r="C29" s="7" t="s">
        <v>7</v>
      </c>
      <c r="D29" s="7" t="s">
        <v>3</v>
      </c>
      <c r="E29" s="7">
        <v>88</v>
      </c>
      <c r="K29" s="8"/>
    </row>
    <row r="30" spans="3:11" s="12" customFormat="1" ht="14.4">
      <c r="C30" s="7" t="s">
        <v>9</v>
      </c>
      <c r="D30" s="7" t="s">
        <v>3</v>
      </c>
      <c r="E30" s="7">
        <v>86</v>
      </c>
      <c r="H30"/>
      <c r="I30"/>
      <c r="J30"/>
      <c r="K30" s="8"/>
    </row>
    <row r="31" spans="3:11" ht="14.4">
      <c r="C31" s="7" t="s">
        <v>11</v>
      </c>
      <c r="D31" s="7" t="s">
        <v>3</v>
      </c>
      <c r="E31" s="7">
        <v>50</v>
      </c>
      <c r="K31" s="8"/>
    </row>
    <row r="32" spans="3:11" ht="14.4" hidden="1">
      <c r="C32" s="7" t="s">
        <v>13</v>
      </c>
      <c r="D32" s="7" t="s">
        <v>85</v>
      </c>
      <c r="E32" s="7">
        <v>75</v>
      </c>
      <c r="K32" s="8"/>
    </row>
    <row r="33" spans="1:11" ht="14.4" hidden="1">
      <c r="C33" s="7" t="s">
        <v>8</v>
      </c>
      <c r="D33" s="7" t="s">
        <v>5</v>
      </c>
      <c r="E33" s="7">
        <v>85</v>
      </c>
      <c r="K33" s="8"/>
    </row>
    <row r="34" spans="1:11" ht="14.55" hidden="1" customHeight="1">
      <c r="C34" s="7" t="s">
        <v>8</v>
      </c>
      <c r="D34" s="7" t="s">
        <v>5</v>
      </c>
      <c r="E34" s="7">
        <v>68</v>
      </c>
      <c r="K34" s="8"/>
    </row>
    <row r="35" spans="1:11" ht="14.55" hidden="1" customHeight="1">
      <c r="C35" s="7" t="s">
        <v>13</v>
      </c>
      <c r="D35" s="7" t="s">
        <v>4</v>
      </c>
      <c r="E35" s="7">
        <v>54</v>
      </c>
      <c r="K35" s="8"/>
    </row>
    <row r="36" spans="1:11" ht="14.55" hidden="1" customHeight="1">
      <c r="C36" s="7" t="s">
        <v>9</v>
      </c>
      <c r="D36" s="7" t="s">
        <v>6</v>
      </c>
      <c r="E36" s="7">
        <v>89</v>
      </c>
      <c r="K36" s="8"/>
    </row>
    <row r="37" spans="1:11" ht="14.55" customHeight="1">
      <c r="K37" s="8"/>
    </row>
    <row r="38" spans="1:11" ht="14.55" customHeight="1">
      <c r="K38" s="8"/>
    </row>
    <row r="39" spans="1:11" ht="14.55" customHeight="1">
      <c r="B39" s="10" t="s">
        <v>1</v>
      </c>
      <c r="C39" s="9" t="s">
        <v>22</v>
      </c>
      <c r="D39" s="9"/>
      <c r="E39" s="9"/>
      <c r="F39" s="9"/>
      <c r="G39" s="9"/>
      <c r="H39" s="9">
        <f>SUMIF(D7:D36,"Mathematics",E7:E36)</f>
        <v>502</v>
      </c>
      <c r="K39" s="8"/>
    </row>
    <row r="40" spans="1:11" ht="14.55" customHeight="1">
      <c r="B40" s="10" t="s">
        <v>1</v>
      </c>
      <c r="C40" s="9" t="s">
        <v>23</v>
      </c>
      <c r="D40" s="9"/>
      <c r="E40" s="9"/>
      <c r="F40" s="9"/>
      <c r="G40" s="9"/>
      <c r="H40" s="9">
        <f>_xlfn.MAXIFS(E7:E36,D7:D36,D34)</f>
        <v>85</v>
      </c>
      <c r="K40" s="8"/>
    </row>
    <row r="41" spans="1:11" ht="14.55" customHeight="1">
      <c r="B41" s="10" t="s">
        <v>1</v>
      </c>
      <c r="C41" s="9" t="s">
        <v>24</v>
      </c>
      <c r="D41" s="9"/>
      <c r="E41" s="9"/>
      <c r="F41" s="9"/>
      <c r="G41" s="9"/>
      <c r="H41" s="11">
        <f ca="1">AVERAGEIF(D7:D36,D21,E7)</f>
        <v>62</v>
      </c>
      <c r="K41" s="8"/>
    </row>
    <row r="42" spans="1:11" ht="14.55" customHeight="1">
      <c r="B42" s="10" t="s">
        <v>1</v>
      </c>
      <c r="C42" s="9" t="s">
        <v>25</v>
      </c>
      <c r="D42" s="9"/>
      <c r="E42" s="9"/>
      <c r="F42" s="9"/>
      <c r="G42" s="9"/>
      <c r="H42" s="9">
        <f>_xlfn.MINIFS(E7:E36,D7:D36,D24)</f>
        <v>66</v>
      </c>
      <c r="K42" s="8"/>
    </row>
    <row r="43" spans="1:11" ht="14.55" customHeight="1">
      <c r="B43" s="10" t="s">
        <v>1</v>
      </c>
      <c r="C43" s="9" t="s">
        <v>26</v>
      </c>
      <c r="D43" s="9"/>
      <c r="E43" s="9"/>
      <c r="F43" s="9"/>
      <c r="G43" s="9"/>
      <c r="H43" s="9">
        <f>COUNTIF(D7:D36,D15)</f>
        <v>6</v>
      </c>
    </row>
    <row r="44" spans="1:11" ht="14.55" customHeight="1">
      <c r="B44" s="10" t="s">
        <v>1</v>
      </c>
      <c r="C44" s="9" t="s">
        <v>27</v>
      </c>
      <c r="D44" s="9"/>
      <c r="E44" s="9"/>
      <c r="F44" s="9"/>
      <c r="G44" s="9"/>
      <c r="H44" s="9">
        <f>LARGE(E8:E31,4)</f>
        <v>86</v>
      </c>
    </row>
    <row r="45" spans="1:11" ht="14.55" customHeight="1">
      <c r="B45" s="10" t="s">
        <v>1</v>
      </c>
      <c r="C45" s="9" t="s">
        <v>28</v>
      </c>
      <c r="D45" s="9"/>
      <c r="E45" s="9"/>
      <c r="F45" s="9"/>
      <c r="G45" s="9"/>
      <c r="H45" s="9">
        <f>_xlfn.MINIFS(E7:E36,D7:D36,D27)</f>
        <v>62</v>
      </c>
    </row>
    <row r="46" spans="1:11" ht="14.55" customHeight="1">
      <c r="B46" s="12"/>
      <c r="C46" s="12"/>
      <c r="D46" s="12"/>
      <c r="E46" s="12"/>
      <c r="F46" s="12"/>
      <c r="G46" s="9"/>
      <c r="H46" s="12"/>
      <c r="I46" s="12"/>
    </row>
    <row r="47" spans="1:11" ht="14.55" customHeight="1"/>
    <row r="48" spans="1:11" ht="14.55" customHeight="1">
      <c r="A48" s="17" t="s">
        <v>79</v>
      </c>
    </row>
    <row r="49" ht="14.55" customHeight="1"/>
    <row r="50" ht="14.55" customHeight="1"/>
    <row r="51" ht="14.55" customHeight="1"/>
    <row r="52" ht="14.55" customHeight="1"/>
    <row r="53" ht="14.55" customHeight="1"/>
    <row r="54" ht="14.55" customHeight="1"/>
    <row r="55" ht="14.55" customHeight="1"/>
    <row r="56" ht="14.55" customHeight="1"/>
    <row r="57" ht="14.55" customHeight="1"/>
    <row r="58" ht="14.55" customHeight="1"/>
    <row r="59" ht="14.55" customHeight="1"/>
    <row r="60" ht="14.55" customHeight="1"/>
    <row r="61" ht="14.55" customHeight="1"/>
    <row r="62" ht="14.55" customHeight="1"/>
    <row r="63" ht="14.55" customHeight="1"/>
    <row r="64" ht="14.55" customHeight="1"/>
    <row r="65" ht="14.55" customHeight="1"/>
    <row r="66" ht="14.55" customHeight="1"/>
    <row r="67" ht="14.55" customHeight="1"/>
    <row r="68" ht="14.55" customHeight="1"/>
    <row r="69" ht="14.55" customHeight="1"/>
    <row r="70" ht="14.55" customHeight="1"/>
    <row r="71" ht="14.55" customHeight="1"/>
    <row r="72" ht="14.55" customHeight="1"/>
    <row r="73" ht="14.55" customHeight="1"/>
    <row r="74" ht="14.55" customHeight="1"/>
    <row r="75" ht="14.55" customHeight="1"/>
    <row r="76" ht="14.55" customHeight="1"/>
  </sheetData>
  <autoFilter ref="C6:E36" xr:uid="{DFAA9519-62CA-41B8-91DA-18B6E1CC130B}">
    <filterColumn colId="1">
      <filters>
        <filter val="Mathematics"/>
      </filters>
    </filterColumn>
  </autoFilter>
  <conditionalFormatting sqref="H39:H45">
    <cfRule type="containsBlanks" dxfId="1" priority="3">
      <formula>LEN(TRIM(H39))=0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 1</vt:lpstr>
      <vt:lpstr>Case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Femi Oladokun</dc:creator>
  <cp:lastModifiedBy>USER</cp:lastModifiedBy>
  <dcterms:created xsi:type="dcterms:W3CDTF">2025-09-28T12:45:06Z</dcterms:created>
  <dcterms:modified xsi:type="dcterms:W3CDTF">2025-11-11T04:36:52Z</dcterms:modified>
</cp:coreProperties>
</file>