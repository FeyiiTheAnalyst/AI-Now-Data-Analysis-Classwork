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22C2639-4B13-4BFF-85EE-8913340FE735}" xr6:coauthVersionLast="36" xr6:coauthVersionMax="36" xr10:uidLastSave="{00000000-0000-0000-0000-000000000000}"/>
  <bookViews>
    <workbookView xWindow="0" yWindow="0" windowWidth="19008" windowHeight="9060" xr2:uid="{93AA7FF5-BBDD-441C-8E06-7E229D70860E}"/>
  </bookViews>
  <sheets>
    <sheet name="Session_06" sheetId="1" r:id="rId1"/>
  </sheets>
  <definedNames>
    <definedName name="_xlnm._FilterDatabase" localSheetId="0" hidden="1">Session_06!$C$39:$K$39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2" i="1" l="1"/>
  <c r="L43" i="1"/>
  <c r="L44" i="1"/>
  <c r="L45" i="1"/>
  <c r="L46" i="1"/>
  <c r="L47" i="1"/>
  <c r="L48" i="1"/>
  <c r="L49" i="1"/>
  <c r="L50" i="1"/>
  <c r="L41" i="1"/>
  <c r="E58" i="1"/>
  <c r="E59" i="1"/>
  <c r="E60" i="1"/>
  <c r="E61" i="1"/>
  <c r="E57" i="1"/>
  <c r="D58" i="1"/>
  <c r="D59" i="1"/>
  <c r="D60" i="1"/>
  <c r="D61" i="1"/>
  <c r="D57" i="1"/>
  <c r="K42" i="1"/>
  <c r="K43" i="1"/>
  <c r="K44" i="1"/>
  <c r="K45" i="1"/>
  <c r="K46" i="1"/>
  <c r="K47" i="1"/>
  <c r="K48" i="1"/>
  <c r="K49" i="1"/>
  <c r="K50" i="1"/>
  <c r="K41" i="1"/>
  <c r="J42" i="1"/>
  <c r="J43" i="1"/>
  <c r="J44" i="1"/>
  <c r="J45" i="1"/>
  <c r="J46" i="1"/>
  <c r="J47" i="1"/>
  <c r="J48" i="1"/>
  <c r="J49" i="1"/>
  <c r="J50" i="1"/>
  <c r="J41" i="1"/>
  <c r="I42" i="1"/>
  <c r="I43" i="1"/>
  <c r="I44" i="1"/>
  <c r="I45" i="1"/>
  <c r="I46" i="1"/>
  <c r="I47" i="1"/>
  <c r="I48" i="1"/>
  <c r="I49" i="1"/>
  <c r="I50" i="1"/>
  <c r="I41" i="1"/>
  <c r="G42" i="1"/>
  <c r="G43" i="1"/>
  <c r="G44" i="1"/>
  <c r="G45" i="1"/>
  <c r="G46" i="1"/>
  <c r="G47" i="1"/>
  <c r="G48" i="1"/>
  <c r="G49" i="1"/>
  <c r="G50" i="1"/>
  <c r="G41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17" i="1"/>
  <c r="G25" i="1"/>
  <c r="L18" i="1"/>
  <c r="L19" i="1"/>
  <c r="L25" i="1"/>
  <c r="L26" i="1"/>
  <c r="L27" i="1"/>
  <c r="L28" i="1"/>
  <c r="L33" i="1"/>
  <c r="L34" i="1"/>
  <c r="L35" i="1"/>
  <c r="L36" i="1"/>
  <c r="H18" i="1"/>
  <c r="H19" i="1"/>
  <c r="H20" i="1"/>
  <c r="L20" i="1" s="1"/>
  <c r="H21" i="1"/>
  <c r="L21" i="1" s="1"/>
  <c r="H22" i="1"/>
  <c r="L22" i="1" s="1"/>
  <c r="H23" i="1"/>
  <c r="L23" i="1" s="1"/>
  <c r="H24" i="1"/>
  <c r="L24" i="1" s="1"/>
  <c r="H25" i="1"/>
  <c r="H26" i="1"/>
  <c r="H27" i="1"/>
  <c r="H28" i="1"/>
  <c r="H29" i="1"/>
  <c r="L29" i="1" s="1"/>
  <c r="H30" i="1"/>
  <c r="L30" i="1" s="1"/>
  <c r="H31" i="1"/>
  <c r="L31" i="1" s="1"/>
  <c r="H32" i="1"/>
  <c r="L32" i="1" s="1"/>
  <c r="H33" i="1"/>
  <c r="H34" i="1"/>
  <c r="H35" i="1"/>
  <c r="H36" i="1"/>
  <c r="H17" i="1"/>
  <c r="L17" i="1" s="1"/>
  <c r="G18" i="1" l="1"/>
  <c r="G19" i="1"/>
  <c r="G20" i="1"/>
  <c r="G21" i="1"/>
  <c r="G22" i="1"/>
  <c r="G23" i="1"/>
  <c r="G24" i="1"/>
  <c r="G26" i="1"/>
  <c r="G27" i="1"/>
  <c r="G28" i="1"/>
  <c r="G29" i="1"/>
  <c r="G30" i="1"/>
  <c r="G31" i="1"/>
  <c r="G32" i="1"/>
  <c r="G33" i="1"/>
  <c r="G34" i="1"/>
  <c r="G35" i="1"/>
  <c r="G36" i="1"/>
  <c r="G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17" i="1"/>
</calcChain>
</file>

<file path=xl/sharedStrings.xml><?xml version="1.0" encoding="utf-8"?>
<sst xmlns="http://schemas.openxmlformats.org/spreadsheetml/2006/main" count="89" uniqueCount="75">
  <si>
    <t>Session 06</t>
  </si>
  <si>
    <t>Formulas and Functions (5) - Dates</t>
  </si>
  <si>
    <t>Class activity - 1</t>
  </si>
  <si>
    <t>Emp ID</t>
  </si>
  <si>
    <t>Names</t>
  </si>
  <si>
    <t>Department</t>
  </si>
  <si>
    <t>Resumption Date</t>
  </si>
  <si>
    <t>Resumption Year</t>
  </si>
  <si>
    <t>Resumption Month</t>
  </si>
  <si>
    <t>Resumption Day</t>
  </si>
  <si>
    <t>Days in Employment</t>
  </si>
  <si>
    <t>Months in Employment</t>
  </si>
  <si>
    <t>ID001</t>
  </si>
  <si>
    <t>Goodluck Jonathan</t>
  </si>
  <si>
    <t>ICT</t>
  </si>
  <si>
    <t>ID002</t>
  </si>
  <si>
    <t>Bukar Ibrahim</t>
  </si>
  <si>
    <t>Medicals</t>
  </si>
  <si>
    <t>ID003</t>
  </si>
  <si>
    <t>Jolly Nyame</t>
  </si>
  <si>
    <t>Supply Chain</t>
  </si>
  <si>
    <t>ID004</t>
  </si>
  <si>
    <t>Adamu Mu'azu</t>
  </si>
  <si>
    <t>ID005</t>
  </si>
  <si>
    <t>Lucky Igbinedion</t>
  </si>
  <si>
    <t>Procurement</t>
  </si>
  <si>
    <t>ID006</t>
  </si>
  <si>
    <t>Peter Obi</t>
  </si>
  <si>
    <t>ID007</t>
  </si>
  <si>
    <t>Gbenga Daniel</t>
  </si>
  <si>
    <t>ID008</t>
  </si>
  <si>
    <t>Ahmed Makarfi</t>
  </si>
  <si>
    <t>Finance</t>
  </si>
  <si>
    <t>ID009</t>
  </si>
  <si>
    <t>Christopher Alao-Akala</t>
  </si>
  <si>
    <t>Marketing</t>
  </si>
  <si>
    <t>ID0010</t>
  </si>
  <si>
    <t>Achike Udenwa</t>
  </si>
  <si>
    <t>ID0011</t>
  </si>
  <si>
    <t>Bukola Saraki</t>
  </si>
  <si>
    <t>ID0012</t>
  </si>
  <si>
    <t>Ali Modu Sheriff</t>
  </si>
  <si>
    <t>ID0013</t>
  </si>
  <si>
    <t>Sam Egwu</t>
  </si>
  <si>
    <t>ID0014</t>
  </si>
  <si>
    <t>Olusegun Agagu</t>
  </si>
  <si>
    <t>ID0015</t>
  </si>
  <si>
    <t>George Akume</t>
  </si>
  <si>
    <t>ID0016</t>
  </si>
  <si>
    <t>Chimaroke Nnamani</t>
  </si>
  <si>
    <t>ID0017</t>
  </si>
  <si>
    <t>Abdullahi Adamu</t>
  </si>
  <si>
    <t>ID0018</t>
  </si>
  <si>
    <t>Attahiru Bafarawa</t>
  </si>
  <si>
    <t>ID0019</t>
  </si>
  <si>
    <t>Bola Tinubu</t>
  </si>
  <si>
    <t>ID0020</t>
  </si>
  <si>
    <t>Donald Duke</t>
  </si>
  <si>
    <t>Class activity - 2</t>
  </si>
  <si>
    <t>s/n</t>
  </si>
  <si>
    <t>Start date</t>
  </si>
  <si>
    <t>Days Interval</t>
  </si>
  <si>
    <t>Months Interval</t>
  </si>
  <si>
    <t>Years Interval</t>
  </si>
  <si>
    <t>Future date</t>
  </si>
  <si>
    <t>Next work date</t>
  </si>
  <si>
    <t>Days difference</t>
  </si>
  <si>
    <t>Months difference</t>
  </si>
  <si>
    <t>Years difference</t>
  </si>
  <si>
    <t>Class activity - 3</t>
  </si>
  <si>
    <t>SN</t>
  </si>
  <si>
    <t>Date of birth</t>
  </si>
  <si>
    <t>Age (method 1)</t>
  </si>
  <si>
    <t>Age (method 2)</t>
  </si>
  <si>
    <t>End of sheet &gt;&gt;&gt;&gt;&gt;&gt;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</si>
</sst>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2060"/>
      <name val="Wingdings"/>
      <charset val="2"/>
    </font>
    <font>
      <u/>
      <sz val="11"/>
      <color theme="1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3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0" fillId="0" borderId="1" xfId="0" applyBorder="1"/>
    <xf numFmtId="0" fontId="4" fillId="0" borderId="0" xfId="0" applyFont="1" applyAlignment="1">
      <alignment horizontal="center"/>
    </xf>
    <xf numFmtId="0" fontId="5" fillId="0" borderId="0" xfId="1"/>
    <xf numFmtId="0" fontId="6" fillId="0" borderId="0" xfId="0" applyFont="1"/>
    <xf numFmtId="0" fontId="1" fillId="3" borderId="1" xfId="0" applyFont="1" applyFill="1" applyBorder="1"/>
    <xf numFmtId="0" fontId="0" fillId="3" borderId="1" xfId="0" applyFill="1" applyBorder="1"/>
    <xf numFmtId="14" fontId="0" fillId="0" borderId="0" xfId="0" applyNumberForma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1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left"/>
    </xf>
    <xf numFmtId="15" fontId="8" fillId="0" borderId="0" xfId="0" applyNumberFormat="1" applyFont="1" applyAlignment="1">
      <alignment horizontal="left"/>
    </xf>
    <xf numFmtId="0" fontId="11" fillId="0" borderId="0" xfId="0" applyFont="1"/>
    <xf numFmtId="14" fontId="7" fillId="0" borderId="0" xfId="0" applyNumberFormat="1" applyFont="1"/>
    <xf numFmtId="2" fontId="7" fillId="0" borderId="0" xfId="0" applyNumberFormat="1" applyFont="1"/>
  </cellXfs>
  <cellStyles count="2">
    <cellStyle name="Hyperlink" xfId="1" builtinId="8"/>
    <cellStyle name="Normal" xfId="0" builtinId="0"/>
  </cellStyles>
  <dxfs count="3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58C9-4337-45A7-A0E1-F217909C037F}">
  <dimension ref="A1:N94"/>
  <sheetViews>
    <sheetView showGridLines="0" tabSelected="1" zoomScale="79" workbookViewId="0">
      <pane ySplit="3" topLeftCell="A32" activePane="bottomLeft" state="frozen"/>
      <selection activeCell="D36" sqref="D36"/>
      <selection pane="bottomLeft" activeCell="M45" sqref="M45"/>
    </sheetView>
  </sheetViews>
  <sheetFormatPr defaultColWidth="0" defaultRowHeight="0" customHeight="1" zeroHeight="1"/>
  <cols>
    <col min="1" max="1" width="4" customWidth="1"/>
    <col min="2" max="2" width="5.296875" customWidth="1"/>
    <col min="3" max="3" width="39.69921875" customWidth="1"/>
    <col min="4" max="4" width="17.09765625" customWidth="1"/>
    <col min="5" max="5" width="18.5" customWidth="1"/>
    <col min="6" max="6" width="20.09765625" customWidth="1"/>
    <col min="7" max="8" width="22.5" customWidth="1"/>
    <col min="9" max="9" width="17.8984375" customWidth="1"/>
    <col min="10" max="10" width="16.796875" customWidth="1"/>
    <col min="11" max="11" width="18.8984375" customWidth="1"/>
    <col min="12" max="12" width="19.796875" customWidth="1"/>
    <col min="13" max="13" width="19.69921875" customWidth="1"/>
    <col min="14" max="14" width="8.69921875" customWidth="1"/>
    <col min="15" max="16384" width="8.69921875" hidden="1"/>
  </cols>
  <sheetData>
    <row r="1" spans="1:14" ht="13.8"/>
    <row r="2" spans="1:14" s="2" customFormat="1" ht="15.6">
      <c r="A2" s="1" t="s">
        <v>0</v>
      </c>
    </row>
    <row r="3" spans="1:14" s="4" customFormat="1" ht="14.4" thickBot="1">
      <c r="A3"/>
      <c r="B3" s="3" t="s">
        <v>1</v>
      </c>
    </row>
    <row r="4" spans="1:14" ht="13.8"/>
    <row r="5" spans="1:14" ht="13.8" hidden="1">
      <c r="B5" s="5"/>
      <c r="D5" s="6"/>
    </row>
    <row r="6" spans="1:14" ht="13.8" hidden="1">
      <c r="B6" s="5"/>
      <c r="D6" s="6"/>
    </row>
    <row r="7" spans="1:14" ht="13.8" hidden="1">
      <c r="B7" s="5"/>
      <c r="D7" s="6"/>
    </row>
    <row r="8" spans="1:14" ht="13.8" hidden="1">
      <c r="B8" s="5"/>
      <c r="D8" s="6"/>
      <c r="G8" s="7"/>
      <c r="H8" s="7"/>
    </row>
    <row r="9" spans="1:14" ht="13.8" hidden="1">
      <c r="B9" s="5"/>
      <c r="D9" s="6"/>
      <c r="G9" s="7"/>
      <c r="H9" s="7"/>
    </row>
    <row r="10" spans="1:14" ht="13.8" hidden="1">
      <c r="B10" s="5"/>
      <c r="D10" s="6"/>
      <c r="G10" s="7"/>
      <c r="H10" s="7"/>
    </row>
    <row r="11" spans="1:14" ht="13.8" hidden="1">
      <c r="B11" s="5"/>
      <c r="D11" s="6"/>
    </row>
    <row r="12" spans="1:14" ht="13.8" hidden="1">
      <c r="B12" s="5"/>
      <c r="D12" s="6"/>
    </row>
    <row r="13" spans="1:14" ht="13.8" hidden="1"/>
    <row r="14" spans="1:14" ht="14.4" thickBot="1">
      <c r="B14" s="8" t="s">
        <v>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ht="13.8"/>
    <row r="16" spans="1:14" ht="13.8">
      <c r="B16" s="2" t="s">
        <v>3</v>
      </c>
      <c r="C16" s="2" t="s">
        <v>4</v>
      </c>
      <c r="D16" s="2" t="s">
        <v>5</v>
      </c>
      <c r="E16" s="2" t="s">
        <v>6</v>
      </c>
      <c r="F16" s="2" t="s">
        <v>7</v>
      </c>
      <c r="G16" s="2" t="s">
        <v>8</v>
      </c>
      <c r="H16" s="2"/>
      <c r="I16" s="2" t="s">
        <v>9</v>
      </c>
      <c r="J16" s="2" t="s">
        <v>10</v>
      </c>
      <c r="K16" s="2" t="s">
        <v>11</v>
      </c>
    </row>
    <row r="17" spans="2:12" ht="14.4">
      <c r="B17" t="s">
        <v>12</v>
      </c>
      <c r="C17" t="s">
        <v>13</v>
      </c>
      <c r="D17" t="s">
        <v>14</v>
      </c>
      <c r="E17" s="10">
        <v>43690</v>
      </c>
      <c r="F17" s="11">
        <f>YEAR(E17)</f>
        <v>2019</v>
      </c>
      <c r="G17" s="11" t="str">
        <f>TEXT(E17,"mmmm")</f>
        <v>August</v>
      </c>
      <c r="H17" s="11">
        <f>MONTH(E17)</f>
        <v>8</v>
      </c>
      <c r="I17" s="11">
        <f>DAY(E17)</f>
        <v>13</v>
      </c>
      <c r="J17" s="11">
        <f ca="1">_xlfn.DAYS(TODAY(),E17)</f>
        <v>2294</v>
      </c>
      <c r="K17" s="11">
        <f ca="1">DATEDIF(E17,TODAY(),"m")</f>
        <v>75</v>
      </c>
      <c r="L17" t="str">
        <f>"Q"&amp;ROUNDUP(H17/3,0)</f>
        <v>Q3</v>
      </c>
    </row>
    <row r="18" spans="2:12" ht="14.4">
      <c r="B18" t="s">
        <v>15</v>
      </c>
      <c r="C18" t="s">
        <v>16</v>
      </c>
      <c r="D18" t="s">
        <v>17</v>
      </c>
      <c r="E18" s="10">
        <v>44318</v>
      </c>
      <c r="F18" s="11">
        <f t="shared" ref="F18:F36" si="0">YEAR(E18)</f>
        <v>2021</v>
      </c>
      <c r="G18" s="11" t="str">
        <f t="shared" ref="G18:G36" si="1">TEXT(E18,"mmmm")</f>
        <v>May</v>
      </c>
      <c r="H18" s="11">
        <f t="shared" ref="H18:H36" si="2">MONTH(E18)</f>
        <v>5</v>
      </c>
      <c r="I18" s="11">
        <f t="shared" ref="I18:I36" si="3">DAY(E18)</f>
        <v>2</v>
      </c>
      <c r="J18" s="11">
        <f t="shared" ref="J18:J36" ca="1" si="4">_xlfn.DAYS(TODAY(),E18)</f>
        <v>1666</v>
      </c>
      <c r="K18" s="11">
        <f t="shared" ref="K18:K36" ca="1" si="5">DATEDIF(E18,TODAY(),"m")</f>
        <v>54</v>
      </c>
      <c r="L18" t="str">
        <f t="shared" ref="L18:L36" si="6">"Q"&amp;ROUNDUP(H18/3,0)</f>
        <v>Q2</v>
      </c>
    </row>
    <row r="19" spans="2:12" ht="14.4">
      <c r="B19" t="s">
        <v>18</v>
      </c>
      <c r="C19" t="s">
        <v>19</v>
      </c>
      <c r="D19" t="s">
        <v>20</v>
      </c>
      <c r="E19" s="10">
        <v>43795</v>
      </c>
      <c r="F19" s="11">
        <f t="shared" si="0"/>
        <v>2019</v>
      </c>
      <c r="G19" s="11" t="str">
        <f t="shared" si="1"/>
        <v>November</v>
      </c>
      <c r="H19" s="11">
        <f t="shared" si="2"/>
        <v>11</v>
      </c>
      <c r="I19" s="11">
        <f t="shared" si="3"/>
        <v>26</v>
      </c>
      <c r="J19" s="11">
        <f t="shared" ca="1" si="4"/>
        <v>2189</v>
      </c>
      <c r="K19" s="11">
        <f t="shared" ca="1" si="5"/>
        <v>71</v>
      </c>
      <c r="L19" t="str">
        <f t="shared" si="6"/>
        <v>Q4</v>
      </c>
    </row>
    <row r="20" spans="2:12" ht="14.4">
      <c r="B20" t="s">
        <v>21</v>
      </c>
      <c r="C20" t="s">
        <v>22</v>
      </c>
      <c r="D20" t="s">
        <v>14</v>
      </c>
      <c r="E20" s="10">
        <v>45161</v>
      </c>
      <c r="F20" s="11">
        <f t="shared" si="0"/>
        <v>2023</v>
      </c>
      <c r="G20" s="11" t="str">
        <f t="shared" si="1"/>
        <v>August</v>
      </c>
      <c r="H20" s="11">
        <f t="shared" si="2"/>
        <v>8</v>
      </c>
      <c r="I20" s="11">
        <f t="shared" si="3"/>
        <v>23</v>
      </c>
      <c r="J20" s="11">
        <f t="shared" ca="1" si="4"/>
        <v>823</v>
      </c>
      <c r="K20" s="11">
        <f t="shared" ca="1" si="5"/>
        <v>27</v>
      </c>
      <c r="L20" t="str">
        <f t="shared" si="6"/>
        <v>Q3</v>
      </c>
    </row>
    <row r="21" spans="2:12" ht="14.4">
      <c r="B21" t="s">
        <v>23</v>
      </c>
      <c r="C21" t="s">
        <v>24</v>
      </c>
      <c r="D21" t="s">
        <v>25</v>
      </c>
      <c r="E21" s="10">
        <v>41695</v>
      </c>
      <c r="F21" s="11">
        <f t="shared" si="0"/>
        <v>2014</v>
      </c>
      <c r="G21" s="11" t="str">
        <f t="shared" si="1"/>
        <v>February</v>
      </c>
      <c r="H21" s="11">
        <f t="shared" si="2"/>
        <v>2</v>
      </c>
      <c r="I21" s="11">
        <f t="shared" si="3"/>
        <v>25</v>
      </c>
      <c r="J21" s="11">
        <f t="shared" ca="1" si="4"/>
        <v>4289</v>
      </c>
      <c r="K21" s="11">
        <f t="shared" ca="1" si="5"/>
        <v>140</v>
      </c>
      <c r="L21" t="str">
        <f t="shared" si="6"/>
        <v>Q1</v>
      </c>
    </row>
    <row r="22" spans="2:12" ht="14.4">
      <c r="B22" t="s">
        <v>26</v>
      </c>
      <c r="C22" t="s">
        <v>27</v>
      </c>
      <c r="D22" t="s">
        <v>17</v>
      </c>
      <c r="E22" s="10">
        <v>45618</v>
      </c>
      <c r="F22" s="11">
        <f t="shared" si="0"/>
        <v>2024</v>
      </c>
      <c r="G22" s="11" t="str">
        <f t="shared" si="1"/>
        <v>November</v>
      </c>
      <c r="H22" s="11">
        <f t="shared" si="2"/>
        <v>11</v>
      </c>
      <c r="I22" s="11">
        <f t="shared" si="3"/>
        <v>22</v>
      </c>
      <c r="J22" s="11">
        <f t="shared" ca="1" si="4"/>
        <v>366</v>
      </c>
      <c r="K22" s="11">
        <f t="shared" ca="1" si="5"/>
        <v>12</v>
      </c>
      <c r="L22" t="str">
        <f t="shared" si="6"/>
        <v>Q4</v>
      </c>
    </row>
    <row r="23" spans="2:12" ht="14.4">
      <c r="B23" t="s">
        <v>28</v>
      </c>
      <c r="C23" t="s">
        <v>29</v>
      </c>
      <c r="D23" t="s">
        <v>14</v>
      </c>
      <c r="E23" s="10">
        <v>44151</v>
      </c>
      <c r="F23" s="11">
        <f t="shared" si="0"/>
        <v>2020</v>
      </c>
      <c r="G23" s="11" t="str">
        <f t="shared" si="1"/>
        <v>November</v>
      </c>
      <c r="H23" s="11">
        <f t="shared" si="2"/>
        <v>11</v>
      </c>
      <c r="I23" s="11">
        <f t="shared" si="3"/>
        <v>16</v>
      </c>
      <c r="J23" s="11">
        <f t="shared" ca="1" si="4"/>
        <v>1833</v>
      </c>
      <c r="K23" s="11">
        <f t="shared" ca="1" si="5"/>
        <v>60</v>
      </c>
      <c r="L23" t="str">
        <f t="shared" si="6"/>
        <v>Q4</v>
      </c>
    </row>
    <row r="24" spans="2:12" ht="14.4">
      <c r="B24" t="s">
        <v>30</v>
      </c>
      <c r="C24" t="s">
        <v>31</v>
      </c>
      <c r="D24" t="s">
        <v>32</v>
      </c>
      <c r="E24" s="10">
        <v>41227</v>
      </c>
      <c r="F24" s="11">
        <f t="shared" si="0"/>
        <v>2012</v>
      </c>
      <c r="G24" s="11" t="str">
        <f t="shared" si="1"/>
        <v>November</v>
      </c>
      <c r="H24" s="11">
        <f t="shared" si="2"/>
        <v>11</v>
      </c>
      <c r="I24" s="11">
        <f t="shared" si="3"/>
        <v>14</v>
      </c>
      <c r="J24" s="11">
        <f t="shared" ca="1" si="4"/>
        <v>4757</v>
      </c>
      <c r="K24" s="11">
        <f t="shared" ca="1" si="5"/>
        <v>156</v>
      </c>
      <c r="L24" t="str">
        <f t="shared" si="6"/>
        <v>Q4</v>
      </c>
    </row>
    <row r="25" spans="2:12" ht="14.4">
      <c r="B25" t="s">
        <v>33</v>
      </c>
      <c r="C25" t="s">
        <v>34</v>
      </c>
      <c r="D25" t="s">
        <v>35</v>
      </c>
      <c r="E25" s="10">
        <v>42401</v>
      </c>
      <c r="F25" s="11">
        <f t="shared" si="0"/>
        <v>2016</v>
      </c>
      <c r="G25" s="11" t="str">
        <f>TEXT(E25,"mmmm")</f>
        <v>February</v>
      </c>
      <c r="H25" s="11">
        <f t="shared" si="2"/>
        <v>2</v>
      </c>
      <c r="I25" s="11">
        <f t="shared" si="3"/>
        <v>1</v>
      </c>
      <c r="J25" s="11">
        <f t="shared" ca="1" si="4"/>
        <v>3583</v>
      </c>
      <c r="K25" s="11">
        <f t="shared" ca="1" si="5"/>
        <v>117</v>
      </c>
      <c r="L25" t="str">
        <f t="shared" si="6"/>
        <v>Q1</v>
      </c>
    </row>
    <row r="26" spans="2:12" ht="14.4">
      <c r="B26" t="s">
        <v>36</v>
      </c>
      <c r="C26" t="s">
        <v>37</v>
      </c>
      <c r="D26" t="s">
        <v>32</v>
      </c>
      <c r="E26" s="10">
        <v>42925</v>
      </c>
      <c r="F26" s="11">
        <f t="shared" si="0"/>
        <v>2017</v>
      </c>
      <c r="G26" s="11" t="str">
        <f t="shared" si="1"/>
        <v>July</v>
      </c>
      <c r="H26" s="11">
        <f t="shared" si="2"/>
        <v>7</v>
      </c>
      <c r="I26" s="11">
        <f t="shared" si="3"/>
        <v>9</v>
      </c>
      <c r="J26" s="11">
        <f t="shared" ca="1" si="4"/>
        <v>3059</v>
      </c>
      <c r="K26" s="11">
        <f t="shared" ca="1" si="5"/>
        <v>100</v>
      </c>
      <c r="L26" t="str">
        <f t="shared" si="6"/>
        <v>Q3</v>
      </c>
    </row>
    <row r="27" spans="2:12" ht="14.4">
      <c r="B27" t="s">
        <v>38</v>
      </c>
      <c r="C27" t="s">
        <v>39</v>
      </c>
      <c r="D27" t="s">
        <v>32</v>
      </c>
      <c r="E27" s="10">
        <v>43184</v>
      </c>
      <c r="F27" s="11">
        <f t="shared" si="0"/>
        <v>2018</v>
      </c>
      <c r="G27" s="11" t="str">
        <f t="shared" si="1"/>
        <v>March</v>
      </c>
      <c r="H27" s="11">
        <f t="shared" si="2"/>
        <v>3</v>
      </c>
      <c r="I27" s="11">
        <f t="shared" si="3"/>
        <v>25</v>
      </c>
      <c r="J27" s="11">
        <f t="shared" ca="1" si="4"/>
        <v>2800</v>
      </c>
      <c r="K27" s="11">
        <f t="shared" ca="1" si="5"/>
        <v>91</v>
      </c>
      <c r="L27" t="str">
        <f t="shared" si="6"/>
        <v>Q1</v>
      </c>
    </row>
    <row r="28" spans="2:12" ht="14.4">
      <c r="B28" t="s">
        <v>40</v>
      </c>
      <c r="C28" t="s">
        <v>41</v>
      </c>
      <c r="D28" t="s">
        <v>17</v>
      </c>
      <c r="E28" s="10">
        <v>42883</v>
      </c>
      <c r="F28" s="11">
        <f t="shared" si="0"/>
        <v>2017</v>
      </c>
      <c r="G28" s="11" t="str">
        <f t="shared" si="1"/>
        <v>May</v>
      </c>
      <c r="H28" s="11">
        <f t="shared" si="2"/>
        <v>5</v>
      </c>
      <c r="I28" s="11">
        <f t="shared" si="3"/>
        <v>28</v>
      </c>
      <c r="J28" s="11">
        <f t="shared" ca="1" si="4"/>
        <v>3101</v>
      </c>
      <c r="K28" s="11">
        <f t="shared" ca="1" si="5"/>
        <v>101</v>
      </c>
      <c r="L28" t="str">
        <f t="shared" si="6"/>
        <v>Q2</v>
      </c>
    </row>
    <row r="29" spans="2:12" ht="14.4">
      <c r="B29" t="s">
        <v>42</v>
      </c>
      <c r="C29" t="s">
        <v>43</v>
      </c>
      <c r="D29" t="s">
        <v>17</v>
      </c>
      <c r="E29" s="10">
        <v>42754</v>
      </c>
      <c r="F29" s="11">
        <f t="shared" si="0"/>
        <v>2017</v>
      </c>
      <c r="G29" s="11" t="str">
        <f t="shared" si="1"/>
        <v>January</v>
      </c>
      <c r="H29" s="11">
        <f t="shared" si="2"/>
        <v>1</v>
      </c>
      <c r="I29" s="11">
        <f t="shared" si="3"/>
        <v>19</v>
      </c>
      <c r="J29" s="11">
        <f t="shared" ca="1" si="4"/>
        <v>3230</v>
      </c>
      <c r="K29" s="11">
        <f t="shared" ca="1" si="5"/>
        <v>106</v>
      </c>
      <c r="L29" t="str">
        <f t="shared" si="6"/>
        <v>Q1</v>
      </c>
    </row>
    <row r="30" spans="2:12" ht="14.4">
      <c r="B30" t="s">
        <v>44</v>
      </c>
      <c r="C30" t="s">
        <v>45</v>
      </c>
      <c r="D30" t="s">
        <v>20</v>
      </c>
      <c r="E30" s="10">
        <v>42543</v>
      </c>
      <c r="F30" s="11">
        <f t="shared" si="0"/>
        <v>2016</v>
      </c>
      <c r="G30" s="11" t="str">
        <f t="shared" si="1"/>
        <v>June</v>
      </c>
      <c r="H30" s="11">
        <f t="shared" si="2"/>
        <v>6</v>
      </c>
      <c r="I30" s="11">
        <f t="shared" si="3"/>
        <v>22</v>
      </c>
      <c r="J30" s="11">
        <f t="shared" ca="1" si="4"/>
        <v>3441</v>
      </c>
      <c r="K30" s="11">
        <f t="shared" ca="1" si="5"/>
        <v>113</v>
      </c>
      <c r="L30" t="str">
        <f t="shared" si="6"/>
        <v>Q2</v>
      </c>
    </row>
    <row r="31" spans="2:12" ht="14.4">
      <c r="B31" t="s">
        <v>46</v>
      </c>
      <c r="C31" t="s">
        <v>47</v>
      </c>
      <c r="D31" t="s">
        <v>17</v>
      </c>
      <c r="E31" s="10">
        <v>40561</v>
      </c>
      <c r="F31" s="11">
        <f t="shared" si="0"/>
        <v>2011</v>
      </c>
      <c r="G31" s="11" t="str">
        <f t="shared" si="1"/>
        <v>January</v>
      </c>
      <c r="H31" s="11">
        <f t="shared" si="2"/>
        <v>1</v>
      </c>
      <c r="I31" s="11">
        <f t="shared" si="3"/>
        <v>18</v>
      </c>
      <c r="J31" s="11">
        <f t="shared" ca="1" si="4"/>
        <v>5423</v>
      </c>
      <c r="K31" s="11">
        <f t="shared" ca="1" si="5"/>
        <v>178</v>
      </c>
      <c r="L31" t="str">
        <f t="shared" si="6"/>
        <v>Q1</v>
      </c>
    </row>
    <row r="32" spans="2:12" ht="14.4">
      <c r="B32" t="s">
        <v>48</v>
      </c>
      <c r="C32" t="s">
        <v>49</v>
      </c>
      <c r="D32" t="s">
        <v>35</v>
      </c>
      <c r="E32" s="10">
        <v>41035</v>
      </c>
      <c r="F32" s="11">
        <f t="shared" si="0"/>
        <v>2012</v>
      </c>
      <c r="G32" s="11" t="str">
        <f t="shared" si="1"/>
        <v>May</v>
      </c>
      <c r="H32" s="11">
        <f t="shared" si="2"/>
        <v>5</v>
      </c>
      <c r="I32" s="11">
        <f t="shared" si="3"/>
        <v>6</v>
      </c>
      <c r="J32" s="11">
        <f t="shared" ca="1" si="4"/>
        <v>4949</v>
      </c>
      <c r="K32" s="11">
        <f t="shared" ca="1" si="5"/>
        <v>162</v>
      </c>
      <c r="L32" t="str">
        <f t="shared" si="6"/>
        <v>Q2</v>
      </c>
    </row>
    <row r="33" spans="1:14" ht="14.4">
      <c r="B33" t="s">
        <v>50</v>
      </c>
      <c r="C33" t="s">
        <v>51</v>
      </c>
      <c r="D33" t="s">
        <v>20</v>
      </c>
      <c r="E33" s="10">
        <v>44012</v>
      </c>
      <c r="F33" s="11">
        <f t="shared" si="0"/>
        <v>2020</v>
      </c>
      <c r="G33" s="11" t="str">
        <f t="shared" si="1"/>
        <v>June</v>
      </c>
      <c r="H33" s="11">
        <f t="shared" si="2"/>
        <v>6</v>
      </c>
      <c r="I33" s="11">
        <f t="shared" si="3"/>
        <v>30</v>
      </c>
      <c r="J33" s="11">
        <f t="shared" ca="1" si="4"/>
        <v>1972</v>
      </c>
      <c r="K33" s="11">
        <f t="shared" ca="1" si="5"/>
        <v>64</v>
      </c>
      <c r="L33" t="str">
        <f t="shared" si="6"/>
        <v>Q2</v>
      </c>
    </row>
    <row r="34" spans="1:14" ht="14.4">
      <c r="B34" t="s">
        <v>52</v>
      </c>
      <c r="C34" t="s">
        <v>53</v>
      </c>
      <c r="D34" t="s">
        <v>35</v>
      </c>
      <c r="E34" s="10">
        <v>41169</v>
      </c>
      <c r="F34" s="11">
        <f t="shared" si="0"/>
        <v>2012</v>
      </c>
      <c r="G34" s="11" t="str">
        <f t="shared" si="1"/>
        <v>September</v>
      </c>
      <c r="H34" s="11">
        <f t="shared" si="2"/>
        <v>9</v>
      </c>
      <c r="I34" s="11">
        <f t="shared" si="3"/>
        <v>17</v>
      </c>
      <c r="J34" s="11">
        <f t="shared" ca="1" si="4"/>
        <v>4815</v>
      </c>
      <c r="K34" s="11">
        <f t="shared" ca="1" si="5"/>
        <v>158</v>
      </c>
      <c r="L34" t="str">
        <f t="shared" si="6"/>
        <v>Q3</v>
      </c>
    </row>
    <row r="35" spans="1:14" ht="14.4">
      <c r="B35" t="s">
        <v>54</v>
      </c>
      <c r="C35" t="s">
        <v>55</v>
      </c>
      <c r="D35" t="s">
        <v>17</v>
      </c>
      <c r="E35" s="10">
        <v>43534</v>
      </c>
      <c r="F35" s="11">
        <f t="shared" si="0"/>
        <v>2019</v>
      </c>
      <c r="G35" s="11" t="str">
        <f t="shared" si="1"/>
        <v>March</v>
      </c>
      <c r="H35" s="11">
        <f t="shared" si="2"/>
        <v>3</v>
      </c>
      <c r="I35" s="11">
        <f t="shared" si="3"/>
        <v>10</v>
      </c>
      <c r="J35" s="11">
        <f t="shared" ca="1" si="4"/>
        <v>2450</v>
      </c>
      <c r="K35" s="11">
        <f t="shared" ca="1" si="5"/>
        <v>80</v>
      </c>
      <c r="L35" t="str">
        <f t="shared" si="6"/>
        <v>Q1</v>
      </c>
    </row>
    <row r="36" spans="1:14" ht="14.4">
      <c r="B36" t="s">
        <v>56</v>
      </c>
      <c r="C36" t="s">
        <v>57</v>
      </c>
      <c r="D36" t="s">
        <v>14</v>
      </c>
      <c r="E36" s="10">
        <v>45486</v>
      </c>
      <c r="F36" s="11">
        <f t="shared" si="0"/>
        <v>2024</v>
      </c>
      <c r="G36" s="11" t="str">
        <f t="shared" si="1"/>
        <v>July</v>
      </c>
      <c r="H36" s="11">
        <f t="shared" si="2"/>
        <v>7</v>
      </c>
      <c r="I36" s="11">
        <f t="shared" si="3"/>
        <v>13</v>
      </c>
      <c r="J36" s="11">
        <f t="shared" ca="1" si="4"/>
        <v>498</v>
      </c>
      <c r="K36" s="11">
        <f t="shared" ca="1" si="5"/>
        <v>16</v>
      </c>
      <c r="L36" t="str">
        <f t="shared" si="6"/>
        <v>Q3</v>
      </c>
    </row>
    <row r="37" spans="1:14" ht="13.8"/>
    <row r="38" spans="1:14" s="4" customFormat="1" ht="14.4" thickBot="1">
      <c r="A38"/>
      <c r="B38" s="8" t="s">
        <v>58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ht="13.8"/>
    <row r="40" spans="1:14" s="12" customFormat="1" ht="14.4">
      <c r="B40" s="13" t="s">
        <v>59</v>
      </c>
      <c r="C40" s="14" t="s">
        <v>60</v>
      </c>
      <c r="D40" s="14" t="s">
        <v>61</v>
      </c>
      <c r="E40" s="14" t="s">
        <v>62</v>
      </c>
      <c r="F40" s="15" t="s">
        <v>63</v>
      </c>
      <c r="G40" s="13" t="s">
        <v>64</v>
      </c>
      <c r="H40" s="13"/>
      <c r="I40" s="13" t="s">
        <v>65</v>
      </c>
      <c r="J40" s="13" t="s">
        <v>66</v>
      </c>
      <c r="K40" s="13" t="s">
        <v>67</v>
      </c>
      <c r="L40" s="13" t="s">
        <v>68</v>
      </c>
    </row>
    <row r="41" spans="1:14" s="12" customFormat="1" ht="14.4">
      <c r="B41" s="16">
        <v>1</v>
      </c>
      <c r="C41" s="17">
        <v>45658</v>
      </c>
      <c r="D41" s="18">
        <v>27</v>
      </c>
      <c r="E41" s="18">
        <v>9</v>
      </c>
      <c r="F41" s="19">
        <v>15</v>
      </c>
      <c r="G41" s="23">
        <f>WORKDAY(C41,D41)</f>
        <v>45695</v>
      </c>
      <c r="H41" s="11"/>
      <c r="I41" s="23">
        <f>EDATE(C41,E41)</f>
        <v>45931</v>
      </c>
      <c r="J41" s="11">
        <f>_xlfn.DAYS(I41,G41)</f>
        <v>236</v>
      </c>
      <c r="K41" s="11">
        <f>DATEDIF(G41,I41,"m")</f>
        <v>7</v>
      </c>
      <c r="L41" s="11">
        <f>YEAR(I41)-YEAR(G41)</f>
        <v>0</v>
      </c>
    </row>
    <row r="42" spans="1:14" s="12" customFormat="1" ht="14.4">
      <c r="B42" s="16">
        <v>2</v>
      </c>
      <c r="C42" s="17">
        <v>45696</v>
      </c>
      <c r="D42" s="18">
        <v>27</v>
      </c>
      <c r="E42" s="18">
        <v>5</v>
      </c>
      <c r="F42" s="19">
        <v>19</v>
      </c>
      <c r="G42" s="23">
        <f t="shared" ref="G42:G52" si="7">WORKDAY(C42,D42)</f>
        <v>45734</v>
      </c>
      <c r="H42" s="11"/>
      <c r="I42" s="23">
        <f t="shared" ref="I42:I52" si="8">EDATE(C42,E42)</f>
        <v>45846</v>
      </c>
      <c r="J42" s="11">
        <f t="shared" ref="J42:J50" si="9">_xlfn.DAYS(I42,G42)</f>
        <v>112</v>
      </c>
      <c r="K42" s="11">
        <f t="shared" ref="K42:K51" si="10">DATEDIF(G42,I42,"m")</f>
        <v>3</v>
      </c>
      <c r="L42" s="11">
        <f t="shared" ref="L42:L50" si="11">YEAR(I42)-YEAR(G42)</f>
        <v>0</v>
      </c>
    </row>
    <row r="43" spans="1:14" s="12" customFormat="1" ht="14.4">
      <c r="B43" s="16">
        <v>3</v>
      </c>
      <c r="C43" s="17">
        <v>44951</v>
      </c>
      <c r="D43" s="18">
        <v>22</v>
      </c>
      <c r="E43" s="18">
        <v>3</v>
      </c>
      <c r="F43" s="19">
        <v>11</v>
      </c>
      <c r="G43" s="23">
        <f t="shared" si="7"/>
        <v>44981</v>
      </c>
      <c r="H43" s="11"/>
      <c r="I43" s="23">
        <f t="shared" si="8"/>
        <v>45041</v>
      </c>
      <c r="J43" s="11">
        <f t="shared" si="9"/>
        <v>60</v>
      </c>
      <c r="K43" s="11">
        <f t="shared" si="10"/>
        <v>2</v>
      </c>
      <c r="L43" s="11">
        <f t="shared" si="11"/>
        <v>0</v>
      </c>
    </row>
    <row r="44" spans="1:14" s="12" customFormat="1" ht="14.4">
      <c r="B44" s="16">
        <v>4</v>
      </c>
      <c r="C44" s="17">
        <v>45082</v>
      </c>
      <c r="D44" s="18">
        <v>17</v>
      </c>
      <c r="E44" s="18">
        <v>10</v>
      </c>
      <c r="F44" s="19">
        <v>17</v>
      </c>
      <c r="G44" s="23">
        <f t="shared" si="7"/>
        <v>45105</v>
      </c>
      <c r="H44" s="11"/>
      <c r="I44" s="23">
        <f t="shared" si="8"/>
        <v>45387</v>
      </c>
      <c r="J44" s="11">
        <f t="shared" si="9"/>
        <v>282</v>
      </c>
      <c r="K44" s="11">
        <f t="shared" si="10"/>
        <v>9</v>
      </c>
      <c r="L44" s="11">
        <f t="shared" si="11"/>
        <v>1</v>
      </c>
    </row>
    <row r="45" spans="1:14" s="12" customFormat="1" ht="14.4">
      <c r="B45" s="16">
        <v>5</v>
      </c>
      <c r="C45" s="17">
        <v>46484</v>
      </c>
      <c r="D45" s="18">
        <v>21</v>
      </c>
      <c r="E45" s="18">
        <v>12</v>
      </c>
      <c r="F45" s="19">
        <v>9</v>
      </c>
      <c r="G45" s="23">
        <f t="shared" si="7"/>
        <v>46513</v>
      </c>
      <c r="H45" s="11"/>
      <c r="I45" s="23">
        <f t="shared" si="8"/>
        <v>46850</v>
      </c>
      <c r="J45" s="11">
        <f t="shared" si="9"/>
        <v>337</v>
      </c>
      <c r="K45" s="11">
        <f t="shared" si="10"/>
        <v>11</v>
      </c>
      <c r="L45" s="11">
        <f t="shared" si="11"/>
        <v>1</v>
      </c>
    </row>
    <row r="46" spans="1:14" s="12" customFormat="1" ht="14.4">
      <c r="B46" s="16">
        <v>6</v>
      </c>
      <c r="C46" s="17">
        <v>44559</v>
      </c>
      <c r="D46" s="18">
        <v>18</v>
      </c>
      <c r="E46" s="18">
        <v>3</v>
      </c>
      <c r="F46" s="19">
        <v>19</v>
      </c>
      <c r="G46" s="23">
        <f t="shared" si="7"/>
        <v>44585</v>
      </c>
      <c r="H46" s="11"/>
      <c r="I46" s="23">
        <f t="shared" si="8"/>
        <v>44649</v>
      </c>
      <c r="J46" s="11">
        <f t="shared" si="9"/>
        <v>64</v>
      </c>
      <c r="K46" s="11">
        <f t="shared" si="10"/>
        <v>2</v>
      </c>
      <c r="L46" s="11">
        <f t="shared" si="11"/>
        <v>0</v>
      </c>
    </row>
    <row r="47" spans="1:14" s="12" customFormat="1" ht="14.4">
      <c r="B47" s="16">
        <v>7</v>
      </c>
      <c r="C47" s="17">
        <v>43875</v>
      </c>
      <c r="D47" s="18">
        <v>12</v>
      </c>
      <c r="E47" s="18">
        <v>8</v>
      </c>
      <c r="F47" s="19">
        <v>14</v>
      </c>
      <c r="G47" s="23">
        <f t="shared" si="7"/>
        <v>43893</v>
      </c>
      <c r="H47" s="11"/>
      <c r="I47" s="23">
        <f t="shared" si="8"/>
        <v>44118</v>
      </c>
      <c r="J47" s="11">
        <f t="shared" si="9"/>
        <v>225</v>
      </c>
      <c r="K47" s="11">
        <f t="shared" si="10"/>
        <v>7</v>
      </c>
      <c r="L47" s="11">
        <f t="shared" si="11"/>
        <v>0</v>
      </c>
    </row>
    <row r="48" spans="1:14" s="12" customFormat="1" ht="14.4">
      <c r="B48" s="16">
        <v>8</v>
      </c>
      <c r="C48" s="17">
        <v>46576</v>
      </c>
      <c r="D48" s="18">
        <v>19</v>
      </c>
      <c r="E48" s="18">
        <v>3</v>
      </c>
      <c r="F48" s="19">
        <v>10</v>
      </c>
      <c r="G48" s="23">
        <f t="shared" si="7"/>
        <v>46603</v>
      </c>
      <c r="H48" s="11"/>
      <c r="I48" s="23">
        <f t="shared" si="8"/>
        <v>46668</v>
      </c>
      <c r="J48" s="11">
        <f t="shared" si="9"/>
        <v>65</v>
      </c>
      <c r="K48" s="11">
        <f t="shared" si="10"/>
        <v>2</v>
      </c>
      <c r="L48" s="11">
        <f t="shared" si="11"/>
        <v>0</v>
      </c>
    </row>
    <row r="49" spans="1:14" s="12" customFormat="1" ht="14.4">
      <c r="B49" s="16">
        <v>9</v>
      </c>
      <c r="C49" s="17">
        <v>44417</v>
      </c>
      <c r="D49" s="18">
        <v>26</v>
      </c>
      <c r="E49" s="18">
        <v>3</v>
      </c>
      <c r="F49" s="19">
        <v>16</v>
      </c>
      <c r="G49" s="23">
        <f t="shared" si="7"/>
        <v>44453</v>
      </c>
      <c r="H49" s="11"/>
      <c r="I49" s="23">
        <f t="shared" si="8"/>
        <v>44509</v>
      </c>
      <c r="J49" s="11">
        <f t="shared" si="9"/>
        <v>56</v>
      </c>
      <c r="K49" s="11">
        <f t="shared" si="10"/>
        <v>1</v>
      </c>
      <c r="L49" s="11">
        <f t="shared" si="11"/>
        <v>0</v>
      </c>
    </row>
    <row r="50" spans="1:14" s="12" customFormat="1" ht="14.4">
      <c r="B50" s="16">
        <v>10</v>
      </c>
      <c r="C50" s="17">
        <v>47433</v>
      </c>
      <c r="D50" s="18">
        <v>28</v>
      </c>
      <c r="E50" s="18">
        <v>4</v>
      </c>
      <c r="F50" s="19">
        <v>5</v>
      </c>
      <c r="G50" s="23">
        <f t="shared" si="7"/>
        <v>47471</v>
      </c>
      <c r="H50" s="11"/>
      <c r="I50" s="23">
        <f t="shared" si="8"/>
        <v>47553</v>
      </c>
      <c r="J50" s="11">
        <f t="shared" si="9"/>
        <v>82</v>
      </c>
      <c r="K50" s="11">
        <f t="shared" si="10"/>
        <v>2</v>
      </c>
      <c r="L50" s="11">
        <f t="shared" si="11"/>
        <v>1</v>
      </c>
    </row>
    <row r="51" spans="1:14" s="12" customFormat="1" ht="14.4">
      <c r="B51" s="16"/>
      <c r="C51" s="17"/>
      <c r="D51" s="18"/>
      <c r="E51" s="18"/>
      <c r="F51" s="19"/>
      <c r="G51" s="23"/>
      <c r="H51" s="11"/>
      <c r="I51" s="23"/>
      <c r="J51" s="11"/>
      <c r="K51" s="11"/>
      <c r="L51" s="11"/>
    </row>
    <row r="52" spans="1:14" s="12" customFormat="1" ht="14.4">
      <c r="B52" s="16"/>
      <c r="C52" s="17"/>
      <c r="D52" s="18"/>
      <c r="E52" s="18"/>
      <c r="F52" s="19"/>
      <c r="G52" s="23"/>
      <c r="H52" s="11"/>
      <c r="I52" s="23"/>
      <c r="J52" s="11"/>
      <c r="K52" s="11"/>
      <c r="L52" s="11"/>
    </row>
    <row r="53" spans="1:14" s="12" customFormat="1" ht="14.4">
      <c r="G53" s="11"/>
      <c r="H53" s="11"/>
    </row>
    <row r="54" spans="1:14" s="12" customFormat="1" ht="14.4" thickBot="1">
      <c r="B54" s="8" t="s">
        <v>69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s="12" customFormat="1" ht="14.4">
      <c r="G55" s="11"/>
      <c r="H55" s="11"/>
    </row>
    <row r="56" spans="1:14" s="12" customFormat="1" ht="14.4">
      <c r="B56" s="13" t="s">
        <v>70</v>
      </c>
      <c r="C56" s="20" t="s">
        <v>71</v>
      </c>
      <c r="D56" s="13" t="s">
        <v>72</v>
      </c>
      <c r="E56" s="13" t="s">
        <v>73</v>
      </c>
      <c r="G56" s="11"/>
      <c r="H56" s="11"/>
    </row>
    <row r="57" spans="1:14" s="12" customFormat="1" ht="14.4">
      <c r="B57" s="16">
        <v>1</v>
      </c>
      <c r="C57" s="21">
        <v>33919</v>
      </c>
      <c r="D57" s="24">
        <f ca="1">YEAR(TODAY())-YEAR(C57)</f>
        <v>33</v>
      </c>
      <c r="E57" s="11">
        <f ca="1">IF(AND(MONTH(TODAY())&gt;=MONTH(C57),DAY(TODAY())&gt;=DAY(C57)),YEAR(TODAY())-YEAR(C57),YEAR(TODAY())-YEAR(C57)-1)</f>
        <v>33</v>
      </c>
      <c r="G57" s="11"/>
      <c r="H57" s="11"/>
    </row>
    <row r="58" spans="1:14" s="12" customFormat="1" ht="14.4">
      <c r="B58" s="16">
        <v>2</v>
      </c>
      <c r="C58" s="21">
        <v>45114</v>
      </c>
      <c r="D58" s="24">
        <f t="shared" ref="D58:D61" ca="1" si="12">YEAR(TODAY())-YEAR(C58)</f>
        <v>2</v>
      </c>
      <c r="E58" s="11">
        <f t="shared" ref="E58:E61" ca="1" si="13">IF(AND(MONTH(TODAY())&gt;=MONTH(C58),DAY(TODAY())&gt;=DAY(C58)),YEAR(TODAY())-YEAR(C58),YEAR(TODAY())-YEAR(C58)-1)</f>
        <v>2</v>
      </c>
      <c r="G58" s="11"/>
      <c r="H58" s="11"/>
    </row>
    <row r="59" spans="1:14" s="12" customFormat="1" ht="14.4">
      <c r="B59" s="16">
        <v>3</v>
      </c>
      <c r="C59" s="21">
        <v>41274</v>
      </c>
      <c r="D59" s="24">
        <f t="shared" ca="1" si="12"/>
        <v>13</v>
      </c>
      <c r="E59" s="11">
        <f t="shared" ca="1" si="13"/>
        <v>12</v>
      </c>
      <c r="G59" s="11"/>
      <c r="H59" s="11"/>
    </row>
    <row r="60" spans="1:14" s="12" customFormat="1" ht="14.4">
      <c r="B60" s="16">
        <v>4</v>
      </c>
      <c r="C60" s="21">
        <v>33306</v>
      </c>
      <c r="D60" s="24">
        <f t="shared" ca="1" si="12"/>
        <v>34</v>
      </c>
      <c r="E60" s="11">
        <f t="shared" ca="1" si="13"/>
        <v>34</v>
      </c>
      <c r="G60" s="11"/>
      <c r="H60" s="11"/>
    </row>
    <row r="61" spans="1:14" s="12" customFormat="1" ht="14.4">
      <c r="B61" s="16">
        <v>5</v>
      </c>
      <c r="C61" s="21">
        <v>29253</v>
      </c>
      <c r="D61" s="24">
        <f t="shared" ca="1" si="12"/>
        <v>45</v>
      </c>
      <c r="E61" s="11">
        <f t="shared" ca="1" si="13"/>
        <v>45</v>
      </c>
      <c r="G61" s="11"/>
      <c r="H61" s="11"/>
    </row>
    <row r="62" spans="1:14" s="12" customFormat="1" ht="14.4">
      <c r="G62" s="11"/>
      <c r="H62" s="11"/>
    </row>
    <row r="63" spans="1:14" ht="13.8"/>
    <row r="64" spans="1:14" ht="13.8">
      <c r="A64" s="22" t="s">
        <v>74</v>
      </c>
    </row>
    <row r="65" ht="13.8"/>
    <row r="66" ht="14.55" customHeight="1"/>
    <row r="67" ht="14.55" customHeight="1"/>
    <row r="68" ht="14.55" customHeight="1"/>
    <row r="69" ht="14.55" customHeight="1"/>
    <row r="70" ht="14.55" customHeight="1"/>
    <row r="71" ht="14.55" customHeight="1"/>
    <row r="72" ht="14.55" customHeight="1"/>
    <row r="73" ht="14.55" customHeight="1"/>
    <row r="74" ht="14.55" customHeight="1"/>
    <row r="75" ht="14.55" customHeight="1"/>
    <row r="76" ht="14.55" customHeight="1"/>
    <row r="77" ht="14.55" customHeight="1"/>
    <row r="78" ht="14.55" customHeight="1"/>
    <row r="79" ht="14.55" customHeight="1"/>
    <row r="80" ht="14.55" customHeight="1"/>
    <row r="81" ht="14.55" customHeight="1"/>
    <row r="82" ht="14.55" customHeight="1"/>
    <row r="83" ht="14.55" customHeight="1"/>
    <row r="84" ht="14.55" customHeight="1"/>
    <row r="85" ht="14.55" customHeight="1"/>
    <row r="86" ht="14.55" customHeight="1"/>
    <row r="87" ht="14.55" customHeight="1"/>
    <row r="88" ht="14.55" customHeight="1"/>
    <row r="89" ht="14.55" customHeight="1"/>
    <row r="90" ht="14.55" customHeight="1"/>
    <row r="91" ht="14.55" customHeight="1"/>
    <row r="92" ht="14.55" customHeight="1"/>
    <row r="93" ht="14.55" customHeight="1"/>
    <row r="94" ht="14.55" customHeight="1"/>
  </sheetData>
  <conditionalFormatting sqref="D57:E61">
    <cfRule type="containsBlanks" dxfId="0" priority="2">
      <formula>LEN(TRIM(D57))=0</formula>
    </cfRule>
  </conditionalFormatting>
  <conditionalFormatting sqref="G41:L52">
    <cfRule type="containsBlanks" dxfId="2" priority="1">
      <formula>LEN(TRIM(G41))=0</formula>
    </cfRule>
  </conditionalFormatting>
  <conditionalFormatting sqref="F17:K36">
    <cfRule type="containsBlanks" dxfId="1" priority="3">
      <formula>LEN(TRIM(F17))=0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Oladokun</dc:creator>
  <cp:lastModifiedBy>USER</cp:lastModifiedBy>
  <dcterms:created xsi:type="dcterms:W3CDTF">2025-11-03T16:18:35Z</dcterms:created>
  <dcterms:modified xsi:type="dcterms:W3CDTF">2025-11-22T23:38:10Z</dcterms:modified>
</cp:coreProperties>
</file>